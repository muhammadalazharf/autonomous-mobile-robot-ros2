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4a0ca892f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f946a519e84bf9"/>
    <x:sheet xmlns:r="http://schemas.openxmlformats.org/officeDocument/2006/relationships" name="Odometry_Raw" sheetId="2" r:id="Rfb1b349ab4b64f1d"/>
    <x:sheet xmlns:r="http://schemas.openxmlformats.org/officeDocument/2006/relationships" name="Odometry_Summary" sheetId="3" r:id="Rbf63443448be4b5b"/>
    <x:sheet xmlns:r="http://schemas.openxmlformats.org/officeDocument/2006/relationships" name="Localization_Raw" sheetId="4" r:id="R9858611905dd4d1a"/>
    <x:sheet xmlns:r="http://schemas.openxmlformats.org/officeDocument/2006/relationships" name="Localization_Summary" sheetId="5" r:id="R50509a75326c431e"/>
    <x:sheet xmlns:r="http://schemas.openxmlformats.org/officeDocument/2006/relationships" name="Navigation_Raw" sheetId="6" r:id="Rafb1b2fb92324816"/>
    <x:sheet xmlns:r="http://schemas.openxmlformats.org/officeDocument/2006/relationships" name="Navigation_Summary" sheetId="7" r:id="R077c719435fa4171"/>
    <x:sheet xmlns:r="http://schemas.openxmlformats.org/officeDocument/2006/relationships" name="Topic_Snapshot" sheetId="8" r:id="R6737765b86b14fde"/>
    <x:sheet xmlns:r="http://schemas.openxmlformats.org/officeDocument/2006/relationships" name="Evidence_Index" sheetId="9" r:id="R297925fa1254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4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9d32ea48747a2" /><Relationship Type="http://schemas.openxmlformats.org/officeDocument/2006/relationships/theme" Target="/xl/theme/theme1.xml" Id="R931f76f63d594f54" /><Relationship Type="http://schemas.openxmlformats.org/officeDocument/2006/relationships/sharedStrings" Target="/xl/sharedStrings.xml" Id="Rd5151ce3c5734fbc" /><Relationship Type="http://schemas.openxmlformats.org/officeDocument/2006/relationships/worksheet" Target="/xl/worksheets/sheet1.xml" Id="Rc1f946a519e84bf9" /><Relationship Type="http://schemas.openxmlformats.org/officeDocument/2006/relationships/worksheet" Target="/xl/worksheets/sheet2.xml" Id="Rfb1b349ab4b64f1d" /><Relationship Type="http://schemas.openxmlformats.org/officeDocument/2006/relationships/worksheet" Target="/xl/worksheets/sheet3.xml" Id="Rbf63443448be4b5b" /><Relationship Type="http://schemas.openxmlformats.org/officeDocument/2006/relationships/worksheet" Target="/xl/worksheets/sheet4.xml" Id="R9858611905dd4d1a" /><Relationship Type="http://schemas.openxmlformats.org/officeDocument/2006/relationships/worksheet" Target="/xl/worksheets/sheet5.xml" Id="R50509a75326c431e" /><Relationship Type="http://schemas.openxmlformats.org/officeDocument/2006/relationships/worksheet" Target="/xl/worksheets/sheet6.xml" Id="Rafb1b2fb92324816" /><Relationship Type="http://schemas.openxmlformats.org/officeDocument/2006/relationships/worksheet" Target="/xl/worksheets/sheet7.xml" Id="R077c719435fa4171" /><Relationship Type="http://schemas.openxmlformats.org/officeDocument/2006/relationships/worksheet" Target="/xl/worksheets/sheet8.xml" Id="R6737765b86b14fde" /><Relationship Type="http://schemas.openxmlformats.org/officeDocument/2006/relationships/worksheet" Target="/xl/worksheets/sheet9.xml" Id="R297925fa1254460a" /></Relationships>
</file>

<file path=xl/tables/table1.xml><?xml version="1.0" encoding="utf-8"?>
<x:table xmlns:x="http://schemas.openxmlformats.org/spreadsheetml/2006/main" id="1" name="OdometryRawTable" displayName="OdometryRawTable" ref="A1:Q31" headerRowCount="1">
  <x:tableColumns count="17">
    <x:tableColumn id="1" name="timestamp"/>
    <x:tableColumn id="2" name="trial"/>
    <x:tableColumn id="3" name="actual_distance_m"/>
    <x:tableColumn id="4" name="odom_straight_distance_m"/>
    <x:tableColumn id="5" name="odom_path_length_m"/>
    <x:tableColumn id="6" name="error_m"/>
    <x:tableColumn id="7" name="error_pct"/>
    <x:tableColumn id="8" name="duration_s"/>
    <x:tableColumn id="9" name="sample_count"/>
    <x:tableColumn id="10" name="start_x_m"/>
    <x:tableColumn id="11" name="start_y_m"/>
    <x:tableColumn id="12" name="end_x_m"/>
    <x:tableColumn id="13" name="end_y_m"/>
    <x:tableColumn id="14" name="start_yaw_rad"/>
    <x:tableColumn id="15" name="end_yaw_rad"/>
    <x:tableColumn id="16" name="odom_topic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dometrySummaryTable" displayName="OdometrySummaryTable" ref="A3:I33" headerRowCount="1">
  <x:tableColumns count="9">
    <x:tableColumn id="1" name="No"/>
    <x:tableColumn id="2" name="Trial"/>
    <x:tableColumn id="3" name="Jarak Aktual (m)"/>
    <x:tableColumn id="4" name="Jarak Odometry (m)"/>
    <x:tableColumn id="5" name="Selisih (m)"/>
    <x:tableColumn id="6" name="Persen Error (%)"/>
    <x:tableColumn id="7" name="Durasi (s)"/>
    <x:tableColumn id="8" name="Jumlah Sampel"/>
    <x:tableColumn id="9" name="Catatan"/>
  </x:tableColumns>
  <x:tableStyleInfo name="TableStyleMedium2" showRowStripes="1"/>
</x:table>
</file>

<file path=xl/tables/table3.xml><?xml version="1.0" encoding="utf-8"?>
<x:table xmlns:x="http://schemas.openxmlformats.org/spreadsheetml/2006/main" id="3" name="LocalizationRawTable" displayName="LocalizationRawTable" ref="A1:Q31" headerRowCount="1">
  <x:tableColumns count="17">
    <x:tableColumn id="1" name="timestamp"/>
    <x:tableColumn id="2" name="trial"/>
    <x:tableColumn id="3" name="map_file"/>
    <x:tableColumn id="4" name="pose_topic"/>
    <x:tableColumn id="5" name="message_type"/>
    <x:tableColumn id="6" name="duration_s"/>
    <x:tableColumn id="7" name="pose_message_count"/>
    <x:tableColumn id="8" name="estimated_rate_hz"/>
    <x:tableColumn id="9" name="status"/>
    <x:tableColumn id="10" name="last_x_m"/>
    <x:tableColumn id="11" name="last_y_m"/>
    <x:tableColumn id="12" name="last_z_m"/>
    <x:tableColumn id="13" name="last_yaw_rad"/>
    <x:tableColumn id="14" name="cov_x"/>
    <x:tableColumn id="15" name="cov_y"/>
    <x:tableColumn id="16" name="cov_yaw"/>
    <x:tableColumn id="1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ocalizationSummaryTable" displayName="LocalizationSummaryTable" ref="A3:L33" headerRowCount="1">
  <x:tableColumns count="12">
    <x:tableColumn id="1" name="No"/>
    <x:tableColumn id="2" name="Trial"/>
    <x:tableColumn id="3" name="Peta/Database"/>
    <x:tableColumn id="4" name="Topic Pose"/>
    <x:tableColumn id="5" name="Durasi (s)"/>
    <x:tableColumn id="6" name="Jumlah Pose"/>
    <x:tableColumn id="7" name="Rate (Hz)"/>
    <x:tableColumn id="8" name="Status"/>
    <x:tableColumn id="9" name="Pose Terakhir X (m)"/>
    <x:tableColumn id="10" name="Pose Terakhir Y (m)"/>
    <x:tableColumn id="11" name="Yaw (rad)"/>
    <x:tableColumn id="12" name="Catatan"/>
  </x:tableColumns>
  <x:tableStyleInfo name="TableStyleMedium2" showRowStripes="1"/>
</x:table>
</file>

<file path=xl/tables/table5.xml><?xml version="1.0" encoding="utf-8"?>
<x:table xmlns:x="http://schemas.openxmlformats.org/spreadsheetml/2006/main" id="5" name="NavigationRawTable" displayName="NavigationRawTable" ref="A1:V31" headerRowCount="1">
  <x:tableColumns count="22">
    <x:tableColumn id="1" name="timestamp"/>
    <x:tableColumn id="2" name="trial"/>
    <x:tableColumn id="3" name="start_label"/>
    <x:tableColumn id="4" name="goal_label"/>
    <x:tableColumn id="5" name="duration_s"/>
    <x:tableColumn id="6" name="plan_topic"/>
    <x:tableColumn id="7" name="global_path_received"/>
    <x:tableColumn id="8" name="path_message_count"/>
    <x:tableColumn id="9" name="last_path_pose_count"/>
    <x:tableColumn id="10" name="cmd_topic"/>
    <x:tableColumn id="11" name="cmd_message_count"/>
    <x:tableColumn id="12" name="nonzero_cmd_count"/>
    <x:tableColumn id="13" name="cmd_vel_active"/>
    <x:tableColumn id="14" name="avg_linear_x_abs_mps"/>
    <x:tableColumn id="15" name="max_linear_x_abs_mps"/>
    <x:tableColumn id="16" name="avg_angular_z_abs_rps"/>
    <x:tableColumn id="17" name="max_angular_z_abs_rps"/>
    <x:tableColumn id="18" name="odom_displacement_m"/>
    <x:tableColumn id="19" name="odom_path_length_m"/>
    <x:tableColumn id="20" name="robot_moved"/>
    <x:tableColumn id="21" name="status"/>
    <x:tableColumn id="2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NavigationSummaryTable" displayName="NavigationSummaryTable" ref="A3:L33" headerRowCount="1">
  <x:tableColumns count="12">
    <x:tableColumn id="1" name="No"/>
    <x:tableColumn id="2" name="Trial"/>
    <x:tableColumn id="3" name="Start"/>
    <x:tableColumn id="4" name="Goal"/>
    <x:tableColumn id="5" name="Global Path"/>
    <x:tableColumn id="6" name="/cmd_vel Aktif"/>
    <x:tableColumn id="7" name="Robot Bergerak"/>
    <x:tableColumn id="8" name="Durasi (s)"/>
    <x:tableColumn id="9" name="Max Linear (m/s)"/>
    <x:tableColumn id="10" name="Odom Displacement (m)"/>
    <x:tableColumn id="11" name="Status"/>
    <x:tableColumn id="12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TopicSnapshotTable" displayName="TopicSnapshotTable" ref="A1:F51" headerRowCount="1">
  <x:tableColumns count="6">
    <x:tableColumn id="1" name="timestamp"/>
    <x:tableColumn id="2" name="topic"/>
    <x:tableColumn id="3" name="fungsi"/>
    <x:tableColumn id="4" name="type_result"/>
    <x:tableColumn id="5" name="hz_result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EvidenceIndexTable" displayName="EvidenceIndexTable" ref="A1:F9" headerRowCount="1">
  <x:tableColumns count="6">
    <x:tableColumn id="1" name="No"/>
    <x:tableColumn id="2" name="Nama Bukti"/>
    <x:tableColumn id="3" name="Jenis Bukti"/>
    <x:tableColumn id="4" name="Subbab Laporan"/>
    <x:tableColumn id="5" name="Status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c739859ddf4a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f2be1f59d64d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454a9b285a47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b20b64ae4142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dcf4291e67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f673a67a3241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f5f6880f7a44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fc9def26c64cb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28" t="str">
        <x:v>AMR Test Recap Template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29" t="str">
        <x:v>Tujuan</x:v>
      </x:c>
      <x:c r="B3" s="12" t="str">
        <x:v>Template ini digunakan untuk merekap data Validasi Odometry, Localization terhadap Peta, dan Mode Demo Navigation2.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29" t="str">
        <x:v>Langkah 1</x:v>
      </x:c>
      <x:c r="B4" s="12" t="str">
        <x:v>Jalankan script pada paket amr_test_tools di robot/NUC setelah ROS 2 Humble dan workspace AMR aktif.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29" t="str">
        <x:v>Langkah 2</x:v>
      </x:c>
      <x:c r="B5" s="12" t="str">
        <x:v>Hasil script berupa CSV: odometry_trials.csv, localization_trials.csv, navigation_trials.csv, topic_snapshot.csv.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29" t="str">
        <x:v>Langkah 3</x:v>
      </x:c>
      <x:c r="B6" s="12" t="str">
        <x:v>Salin isi tiap CSV ke sheet Raw yang sesuai. Sheet Summary akan membantu menyusun tabel laporan.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29" t="str">
        <x:v>Catatan</x:v>
      </x:c>
      <x:c r="B7" s="12" t="str">
        <x:v>Template ini sengaja tidak memuat narasi problem/debug. Gunakan untuk laporan final berbasis data uji.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130000114440918" hidden="0" customWidth="1"/>
    <x:col min="3" max="3" width="17.3799991607666" hidden="0" customWidth="1"/>
    <x:col min="4" max="4" width="23.8799991607666" hidden="0" customWidth="1"/>
    <x:col min="5" max="5" width="20" hidden="0" customWidth="1"/>
    <x:col min="6" max="6" width="9.25" hidden="0" customWidth="1"/>
    <x:col min="7" max="7" width="10.25" hidden="0" customWidth="1"/>
    <x:col min="8" max="8" width="11.25" hidden="0" customWidth="1"/>
    <x:col min="9" max="9" width="13.75" hidden="0" customWidth="1"/>
    <x:col min="10" max="10" width="10.75" hidden="0" customWidth="1"/>
    <x:col min="11" max="11" width="10.75" hidden="0" customWidth="1"/>
    <x:col min="12" max="12" width="10.130000114440918" hidden="0" customWidth="1"/>
    <x:col min="13" max="13" width="10.130000114440918" hidden="0" customWidth="1"/>
    <x:col min="14" max="14" width="14" hidden="0" customWidth="1"/>
    <x:col min="15" max="15" width="13.380000114440918" hidden="0" customWidth="1"/>
    <x:col min="16" max="16" width="12.25" hidden="0" customWidth="1"/>
    <x:col min="17" max="17" width="7.25" hidden="0" customWidth="1"/>
  </x:cols>
  <x:sheetData>
    <x:row r="1">
      <x:c r="A1" s="26" t="str">
        <x:v>timestamp</x:v>
      </x:c>
      <x:c r="B1" s="26" t="str">
        <x:v>trial</x:v>
      </x:c>
      <x:c r="C1" s="26" t="str">
        <x:v>actual_distance_m</x:v>
      </x:c>
      <x:c r="D1" s="26" t="str">
        <x:v>odom_straight_distance_m</x:v>
      </x:c>
      <x:c r="E1" s="26" t="str">
        <x:v>odom_path_length_m</x:v>
      </x:c>
      <x:c r="F1" s="26" t="str">
        <x:v>error_m</x:v>
      </x:c>
      <x:c r="G1" s="26" t="str">
        <x:v>error_pct</x:v>
      </x:c>
      <x:c r="H1" s="26" t="str">
        <x:v>duration_s</x:v>
      </x:c>
      <x:c r="I1" s="26" t="str">
        <x:v>sample_count</x:v>
      </x:c>
      <x:c r="J1" s="26" t="str">
        <x:v>start_x_m</x:v>
      </x:c>
      <x:c r="K1" s="26" t="str">
        <x:v>start_y_m</x:v>
      </x:c>
      <x:c r="L1" s="26" t="str">
        <x:v>end_x_m</x:v>
      </x:c>
      <x:c r="M1" s="26" t="str">
        <x:v>end_y_m</x:v>
      </x:c>
      <x:c r="N1" s="26" t="str">
        <x:v>start_yaw_rad</x:v>
      </x:c>
      <x:c r="O1" s="26" t="str">
        <x:v>end_yaw_rad</x:v>
      </x:c>
      <x:c r="P1" s="26" t="str">
        <x:v>odom_topic</x:v>
      </x:c>
      <x:c r="Q1" s="26" t="str">
        <x:v>notes</x:v>
      </x:c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/>
      <x:c r="B2" s="12" t="str"/>
      <x:c r="C2" s="32" t="str"/>
      <x:c r="D2" s="32" t="str"/>
      <x:c r="E2" s="32" t="str"/>
      <x:c r="F2" s="32" t="str"/>
      <x:c r="G2" s="32" t="str"/>
      <x:c r="H2" s="32" t="str"/>
      <x:c r="I2" s="33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/>
      <x:c r="B3" s="12" t="str"/>
      <x:c r="C3" s="32" t="str"/>
      <x:c r="D3" s="32" t="str"/>
      <x:c r="E3" s="32" t="str"/>
      <x:c r="F3" s="32" t="str"/>
      <x:c r="G3" s="32" t="str"/>
      <x:c r="H3" s="32" t="str"/>
      <x:c r="I3" s="33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/>
      <x:c r="B4" s="12" t="str"/>
      <x:c r="C4" s="32" t="str"/>
      <x:c r="D4" s="32" t="str"/>
      <x:c r="E4" s="32" t="str"/>
      <x:c r="F4" s="32" t="str"/>
      <x:c r="G4" s="32" t="str"/>
      <x:c r="H4" s="32" t="str"/>
      <x:c r="I4" s="33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/>
      <x:c r="B5" s="12" t="str"/>
      <x:c r="C5" s="32" t="str"/>
      <x:c r="D5" s="32" t="str"/>
      <x:c r="E5" s="32" t="str"/>
      <x:c r="F5" s="32" t="str"/>
      <x:c r="G5" s="32" t="str"/>
      <x:c r="H5" s="32" t="str"/>
      <x:c r="I5" s="33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/>
      <x:c r="B6" s="12" t="str"/>
      <x:c r="C6" s="32" t="str"/>
      <x:c r="D6" s="32" t="str"/>
      <x:c r="E6" s="32" t="str"/>
      <x:c r="F6" s="32" t="str"/>
      <x:c r="G6" s="32" t="str"/>
      <x:c r="H6" s="32" t="str"/>
      <x:c r="I6" s="33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/>
      <x:c r="B7" s="12" t="str"/>
      <x:c r="C7" s="32" t="str"/>
      <x:c r="D7" s="32" t="str"/>
      <x:c r="E7" s="32" t="str"/>
      <x:c r="F7" s="32" t="str"/>
      <x:c r="G7" s="32" t="str"/>
      <x:c r="H7" s="32" t="str"/>
      <x:c r="I7" s="33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/>
      <x:c r="B8" s="12" t="str"/>
      <x:c r="C8" s="32" t="str"/>
      <x:c r="D8" s="32" t="str"/>
      <x:c r="E8" s="32" t="str"/>
      <x:c r="F8" s="32" t="str"/>
      <x:c r="G8" s="32" t="str"/>
      <x:c r="H8" s="32" t="str"/>
      <x:c r="I8" s="33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/>
      <x:c r="B9" s="12" t="str"/>
      <x:c r="C9" s="32" t="str"/>
      <x:c r="D9" s="32" t="str"/>
      <x:c r="E9" s="32" t="str"/>
      <x:c r="F9" s="32" t="str"/>
      <x:c r="G9" s="32" t="str"/>
      <x:c r="H9" s="32" t="str"/>
      <x:c r="I9" s="33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/>
      <x:c r="B10" s="12" t="str"/>
      <x:c r="C10" s="32" t="str"/>
      <x:c r="D10" s="32" t="str"/>
      <x:c r="E10" s="32" t="str"/>
      <x:c r="F10" s="32" t="str"/>
      <x:c r="G10" s="32" t="str"/>
      <x:c r="H10" s="32" t="str"/>
      <x:c r="I10" s="33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/>
      <x:c r="B11" s="12" t="str"/>
      <x:c r="C11" s="32" t="str"/>
      <x:c r="D11" s="32" t="str"/>
      <x:c r="E11" s="32" t="str"/>
      <x:c r="F11" s="32" t="str"/>
      <x:c r="G11" s="32" t="str"/>
      <x:c r="H11" s="32" t="str"/>
      <x:c r="I11" s="33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/>
      <x:c r="B12" s="12" t="str"/>
      <x:c r="C12" s="32" t="str"/>
      <x:c r="D12" s="32" t="str"/>
      <x:c r="E12" s="32" t="str"/>
      <x:c r="F12" s="32" t="str"/>
      <x:c r="G12" s="32" t="str"/>
      <x:c r="H12" s="32" t="str"/>
      <x:c r="I12" s="33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/>
      <x:c r="B13" s="12" t="str"/>
      <x:c r="C13" s="32" t="str"/>
      <x:c r="D13" s="32" t="str"/>
      <x:c r="E13" s="32" t="str"/>
      <x:c r="F13" s="32" t="str"/>
      <x:c r="G13" s="32" t="str"/>
      <x:c r="H13" s="32" t="str"/>
      <x:c r="I13" s="33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/>
      <x:c r="B14" s="12" t="str"/>
      <x:c r="C14" s="32" t="str"/>
      <x:c r="D14" s="32" t="str"/>
      <x:c r="E14" s="32" t="str"/>
      <x:c r="F14" s="32" t="str"/>
      <x:c r="G14" s="32" t="str"/>
      <x:c r="H14" s="32" t="str"/>
      <x:c r="I14" s="33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 t="str"/>
      <x:c r="B15" s="12" t="str"/>
      <x:c r="C15" s="32" t="str"/>
      <x:c r="D15" s="32" t="str"/>
      <x:c r="E15" s="32" t="str"/>
      <x:c r="F15" s="32" t="str"/>
      <x:c r="G15" s="32" t="str"/>
      <x:c r="H15" s="32" t="str"/>
      <x:c r="I15" s="33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/>
      <x:c r="B16" s="12" t="str"/>
      <x:c r="C16" s="32" t="str"/>
      <x:c r="D16" s="32" t="str"/>
      <x:c r="E16" s="32" t="str"/>
      <x:c r="F16" s="32" t="str"/>
      <x:c r="G16" s="32" t="str"/>
      <x:c r="H16" s="32" t="str"/>
      <x:c r="I16" s="33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/>
      <x:c r="B17" s="12" t="str"/>
      <x:c r="C17" s="32" t="str"/>
      <x:c r="D17" s="32" t="str"/>
      <x:c r="E17" s="32" t="str"/>
      <x:c r="F17" s="32" t="str"/>
      <x:c r="G17" s="32" t="str"/>
      <x:c r="H17" s="32" t="str"/>
      <x:c r="I17" s="33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/>
      <x:c r="B18" s="12" t="str"/>
      <x:c r="C18" s="32" t="str"/>
      <x:c r="D18" s="32" t="str"/>
      <x:c r="E18" s="32" t="str"/>
      <x:c r="F18" s="32" t="str"/>
      <x:c r="G18" s="32" t="str"/>
      <x:c r="H18" s="32" t="str"/>
      <x:c r="I18" s="33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/>
      <x:c r="B19" s="12" t="str"/>
      <x:c r="C19" s="32" t="str"/>
      <x:c r="D19" s="32" t="str"/>
      <x:c r="E19" s="32" t="str"/>
      <x:c r="F19" s="32" t="str"/>
      <x:c r="G19" s="32" t="str"/>
      <x:c r="H19" s="32" t="str"/>
      <x:c r="I19" s="33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/>
      <x:c r="B20" s="12" t="str"/>
      <x:c r="C20" s="32" t="str"/>
      <x:c r="D20" s="32" t="str"/>
      <x:c r="E20" s="32" t="str"/>
      <x:c r="F20" s="32" t="str"/>
      <x:c r="G20" s="32" t="str"/>
      <x:c r="H20" s="32" t="str"/>
      <x:c r="I20" s="33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 t="str"/>
      <x:c r="B21" s="12" t="str"/>
      <x:c r="C21" s="32" t="str"/>
      <x:c r="D21" s="32" t="str"/>
      <x:c r="E21" s="32" t="str"/>
      <x:c r="F21" s="32" t="str"/>
      <x:c r="G21" s="32" t="str"/>
      <x:c r="H21" s="32" t="str"/>
      <x:c r="I21" s="33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 t="str"/>
      <x:c r="B22" s="12" t="str"/>
      <x:c r="C22" s="32" t="str"/>
      <x:c r="D22" s="32" t="str"/>
      <x:c r="E22" s="32" t="str"/>
      <x:c r="F22" s="32" t="str"/>
      <x:c r="G22" s="32" t="str"/>
      <x:c r="H22" s="32" t="str"/>
      <x:c r="I22" s="33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 t="str"/>
      <x:c r="B23" s="12" t="str"/>
      <x:c r="C23" s="32" t="str"/>
      <x:c r="D23" s="32" t="str"/>
      <x:c r="E23" s="32" t="str"/>
      <x:c r="F23" s="32" t="str"/>
      <x:c r="G23" s="32" t="str"/>
      <x:c r="H23" s="32" t="str"/>
      <x:c r="I23" s="33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 t="str"/>
      <x:c r="B24" s="12" t="str"/>
      <x:c r="C24" s="32" t="str"/>
      <x:c r="D24" s="32" t="str"/>
      <x:c r="E24" s="32" t="str"/>
      <x:c r="F24" s="32" t="str"/>
      <x:c r="G24" s="32" t="str"/>
      <x:c r="H24" s="32" t="str"/>
      <x:c r="I24" s="33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 t="str"/>
      <x:c r="B25" s="12" t="str"/>
      <x:c r="C25" s="32" t="str"/>
      <x:c r="D25" s="32" t="str"/>
      <x:c r="E25" s="32" t="str"/>
      <x:c r="F25" s="32" t="str"/>
      <x:c r="G25" s="32" t="str"/>
      <x:c r="H25" s="32" t="str"/>
      <x:c r="I25" s="33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 t="str"/>
      <x:c r="B26" s="12" t="str"/>
      <x:c r="C26" s="32" t="str"/>
      <x:c r="D26" s="32" t="str"/>
      <x:c r="E26" s="32" t="str"/>
      <x:c r="F26" s="32" t="str"/>
      <x:c r="G26" s="32" t="str"/>
      <x:c r="H26" s="32" t="str"/>
      <x:c r="I26" s="33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 t="str"/>
      <x:c r="B27" s="12" t="str"/>
      <x:c r="C27" s="32" t="str"/>
      <x:c r="D27" s="32" t="str"/>
      <x:c r="E27" s="32" t="str"/>
      <x:c r="F27" s="32" t="str"/>
      <x:c r="G27" s="32" t="str"/>
      <x:c r="H27" s="32" t="str"/>
      <x:c r="I27" s="33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 t="str"/>
      <x:c r="B28" s="12" t="str"/>
      <x:c r="C28" s="32" t="str"/>
      <x:c r="D28" s="32" t="str"/>
      <x:c r="E28" s="32" t="str"/>
      <x:c r="F28" s="32" t="str"/>
      <x:c r="G28" s="32" t="str"/>
      <x:c r="H28" s="32" t="str"/>
      <x:c r="I28" s="33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 t="str"/>
      <x:c r="B29" s="12" t="str"/>
      <x:c r="C29" s="32" t="str"/>
      <x:c r="D29" s="32" t="str"/>
      <x:c r="E29" s="32" t="str"/>
      <x:c r="F29" s="32" t="str"/>
      <x:c r="G29" s="32" t="str"/>
      <x:c r="H29" s="32" t="str"/>
      <x:c r="I29" s="33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 t="str"/>
      <x:c r="B30" s="12" t="str"/>
      <x:c r="C30" s="32" t="str"/>
      <x:c r="D30" s="32" t="str"/>
      <x:c r="E30" s="32" t="str"/>
      <x:c r="F30" s="32" t="str"/>
      <x:c r="G30" s="32" t="str"/>
      <x:c r="H30" s="32" t="str"/>
      <x:c r="I30" s="33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 t="str"/>
      <x:c r="B31" s="12" t="str"/>
      <x:c r="C31" s="32" t="str"/>
      <x:c r="D31" s="32" t="str"/>
      <x:c r="E31" s="32" t="str"/>
      <x:c r="F31" s="32" t="str"/>
      <x:c r="G31" s="32" t="str"/>
      <x:c r="H31" s="32" t="str"/>
      <x:c r="I31" s="33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cbc739859ddf4a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130001068115234" hidden="0" customWidth="1"/>
    <x:col min="2" max="2" width="6.380000114440918" hidden="0" customWidth="1"/>
    <x:col min="3" max="3" width="15.380000114440918" hidden="0" customWidth="1"/>
    <x:col min="4" max="4" width="18.25" hidden="0" customWidth="1"/>
    <x:col min="5" max="5" width="11" hidden="0" customWidth="1"/>
    <x:col min="6" max="6" width="15.25" hidden="0" customWidth="1"/>
    <x:col min="7" max="7" width="10.130000114440918" hidden="0" customWidth="1"/>
    <x:col min="8" max="8" width="14.5" hidden="0" customWidth="1"/>
    <x:col min="9" max="9" width="8.880000114440918" hidden="0" customWidth="1"/>
  </x:cols>
  <x:sheetData>
    <x:row r="1">
      <x:c r="A1" s="28" t="str">
        <x:v>Tabel Laporan: Validasi Odometry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26" t="str">
        <x:v>No</x:v>
      </x:c>
      <x:c r="B3" s="26" t="str">
        <x:v>Trial</x:v>
      </x:c>
      <x:c r="C3" s="26" t="str">
        <x:v>Jarak Aktual (m)</x:v>
      </x:c>
      <x:c r="D3" s="26" t="str">
        <x:v>Jarak Odometry (m)</x:v>
      </x:c>
      <x:c r="E3" s="26" t="str">
        <x:v>Selisih (m)</x:v>
      </x:c>
      <x:c r="F3" s="26" t="str">
        <x:v>Persen Error (%)</x:v>
      </x:c>
      <x:c r="G3" s="26" t="str">
        <x:v>Durasi (s)</x:v>
      </x:c>
      <x:c r="H3" s="26" t="str">
        <x:v>Jumlah Sampel</x:v>
      </x:c>
      <x:c r="I3" s="26" t="str">
        <x:v>Catatan</x:v>
      </x:c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f>IF(Odometry_Raw!B2&lt;&gt;"",1,"")</x:f>
      </x:c>
      <x:c r="B4" s="12" t="str">
        <x:f>IF(Odometry_Raw!B2&lt;&gt;"",Odometry_Raw!B2,"")</x:f>
      </x:c>
      <x:c r="C4" s="12" t="str">
        <x:f>IF(Odometry_Raw!B2&lt;&gt;"",Odometry_Raw!C2,"")</x:f>
      </x:c>
      <x:c r="D4" s="12" t="str">
        <x:f>IF(Odometry_Raw!B2&lt;&gt;"",Odometry_Raw!D2,"")</x:f>
      </x:c>
      <x:c r="E4" s="12" t="str">
        <x:f>IF(Odometry_Raw!B2&lt;&gt;"",Odometry_Raw!F2,"")</x:f>
      </x:c>
      <x:c r="F4" s="12" t="str">
        <x:f>IF(Odometry_Raw!B2&lt;&gt;"",Odometry_Raw!G2,"")</x:f>
      </x:c>
      <x:c r="G4" s="12" t="str">
        <x:f>IF(Odometry_Raw!B2&lt;&gt;"",Odometry_Raw!H2,"")</x:f>
      </x:c>
      <x:c r="H4" s="12" t="str">
        <x:f>IF(Odometry_Raw!B2&lt;&gt;"",Odometry_Raw!I2,"")</x:f>
      </x:c>
      <x:c r="I4" s="12" t="str">
        <x:f>IF(Odometry_Raw!B2&lt;&gt;"",Odometry_Raw!Q2,"")</x:f>
      </x:c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f>IF(Odometry_Raw!B3&lt;&gt;"",2,"")</x:f>
      </x:c>
      <x:c r="B5" s="12" t="str">
        <x:f>IF(Odometry_Raw!B3&lt;&gt;"",Odometry_Raw!B3,"")</x:f>
      </x:c>
      <x:c r="C5" s="12" t="str">
        <x:f>IF(Odometry_Raw!B3&lt;&gt;"",Odometry_Raw!C3,"")</x:f>
      </x:c>
      <x:c r="D5" s="12" t="str">
        <x:f>IF(Odometry_Raw!B3&lt;&gt;"",Odometry_Raw!D3,"")</x:f>
      </x:c>
      <x:c r="E5" s="12" t="str">
        <x:f>IF(Odometry_Raw!B3&lt;&gt;"",Odometry_Raw!F3,"")</x:f>
      </x:c>
      <x:c r="F5" s="12" t="str">
        <x:f>IF(Odometry_Raw!B3&lt;&gt;"",Odometry_Raw!G3,"")</x:f>
      </x:c>
      <x:c r="G5" s="12" t="str">
        <x:f>IF(Odometry_Raw!B3&lt;&gt;"",Odometry_Raw!H3,"")</x:f>
      </x:c>
      <x:c r="H5" s="12" t="str">
        <x:f>IF(Odometry_Raw!B3&lt;&gt;"",Odometry_Raw!I3,"")</x:f>
      </x:c>
      <x:c r="I5" s="12" t="str">
        <x:f>IF(Odometry_Raw!B3&lt;&gt;"",Odometry_Raw!Q3,"")</x:f>
      </x:c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f>IF(Odometry_Raw!B4&lt;&gt;"",3,"")</x:f>
      </x:c>
      <x:c r="B6" s="12" t="str">
        <x:f>IF(Odometry_Raw!B4&lt;&gt;"",Odometry_Raw!B4,"")</x:f>
      </x:c>
      <x:c r="C6" s="12" t="str">
        <x:f>IF(Odometry_Raw!B4&lt;&gt;"",Odometry_Raw!C4,"")</x:f>
      </x:c>
      <x:c r="D6" s="12" t="str">
        <x:f>IF(Odometry_Raw!B4&lt;&gt;"",Odometry_Raw!D4,"")</x:f>
      </x:c>
      <x:c r="E6" s="12" t="str">
        <x:f>IF(Odometry_Raw!B4&lt;&gt;"",Odometry_Raw!F4,"")</x:f>
      </x:c>
      <x:c r="F6" s="12" t="str">
        <x:f>IF(Odometry_Raw!B4&lt;&gt;"",Odometry_Raw!G4,"")</x:f>
      </x:c>
      <x:c r="G6" s="12" t="str">
        <x:f>IF(Odometry_Raw!B4&lt;&gt;"",Odometry_Raw!H4,"")</x:f>
      </x:c>
      <x:c r="H6" s="12" t="str">
        <x:f>IF(Odometry_Raw!B4&lt;&gt;"",Odometry_Raw!I4,"")</x:f>
      </x:c>
      <x:c r="I6" s="12" t="str">
        <x:f>IF(Odometry_Raw!B4&lt;&gt;"",Odometry_Raw!Q4,"")</x:f>
      </x:c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f>IF(Odometry_Raw!B5&lt;&gt;"",4,"")</x:f>
      </x:c>
      <x:c r="B7" s="12" t="str">
        <x:f>IF(Odometry_Raw!B5&lt;&gt;"",Odometry_Raw!B5,"")</x:f>
      </x:c>
      <x:c r="C7" s="12" t="str">
        <x:f>IF(Odometry_Raw!B5&lt;&gt;"",Odometry_Raw!C5,"")</x:f>
      </x:c>
      <x:c r="D7" s="12" t="str">
        <x:f>IF(Odometry_Raw!B5&lt;&gt;"",Odometry_Raw!D5,"")</x:f>
      </x:c>
      <x:c r="E7" s="12" t="str">
        <x:f>IF(Odometry_Raw!B5&lt;&gt;"",Odometry_Raw!F5,"")</x:f>
      </x:c>
      <x:c r="F7" s="12" t="str">
        <x:f>IF(Odometry_Raw!B5&lt;&gt;"",Odometry_Raw!G5,"")</x:f>
      </x:c>
      <x:c r="G7" s="12" t="str">
        <x:f>IF(Odometry_Raw!B5&lt;&gt;"",Odometry_Raw!H5,"")</x:f>
      </x:c>
      <x:c r="H7" s="12" t="str">
        <x:f>IF(Odometry_Raw!B5&lt;&gt;"",Odometry_Raw!I5,"")</x:f>
      </x:c>
      <x:c r="I7" s="12" t="str">
        <x:f>IF(Odometry_Raw!B5&lt;&gt;"",Odometry_Raw!Q5,"")</x:f>
      </x:c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>
        <x:f>IF(Odometry_Raw!B6&lt;&gt;"",5,"")</x:f>
      </x:c>
      <x:c r="B8" s="12" t="str">
        <x:f>IF(Odometry_Raw!B6&lt;&gt;"",Odometry_Raw!B6,"")</x:f>
      </x:c>
      <x:c r="C8" s="12" t="str">
        <x:f>IF(Odometry_Raw!B6&lt;&gt;"",Odometry_Raw!C6,"")</x:f>
      </x:c>
      <x:c r="D8" s="12" t="str">
        <x:f>IF(Odometry_Raw!B6&lt;&gt;"",Odometry_Raw!D6,"")</x:f>
      </x:c>
      <x:c r="E8" s="12" t="str">
        <x:f>IF(Odometry_Raw!B6&lt;&gt;"",Odometry_Raw!F6,"")</x:f>
      </x:c>
      <x:c r="F8" s="12" t="str">
        <x:f>IF(Odometry_Raw!B6&lt;&gt;"",Odometry_Raw!G6,"")</x:f>
      </x:c>
      <x:c r="G8" s="12" t="str">
        <x:f>IF(Odometry_Raw!B6&lt;&gt;"",Odometry_Raw!H6,"")</x:f>
      </x:c>
      <x:c r="H8" s="12" t="str">
        <x:f>IF(Odometry_Raw!B6&lt;&gt;"",Odometry_Raw!I6,"")</x:f>
      </x:c>
      <x:c r="I8" s="12" t="str">
        <x:f>IF(Odometry_Raw!B6&lt;&gt;"",Odometry_Raw!Q6,"")</x:f>
      </x:c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>
        <x:f>IF(Odometry_Raw!B7&lt;&gt;"",6,"")</x:f>
      </x:c>
      <x:c r="B9" s="12" t="str">
        <x:f>IF(Odometry_Raw!B7&lt;&gt;"",Odometry_Raw!B7,"")</x:f>
      </x:c>
      <x:c r="C9" s="12" t="str">
        <x:f>IF(Odometry_Raw!B7&lt;&gt;"",Odometry_Raw!C7,"")</x:f>
      </x:c>
      <x:c r="D9" s="12" t="str">
        <x:f>IF(Odometry_Raw!B7&lt;&gt;"",Odometry_Raw!D7,"")</x:f>
      </x:c>
      <x:c r="E9" s="12" t="str">
        <x:f>IF(Odometry_Raw!B7&lt;&gt;"",Odometry_Raw!F7,"")</x:f>
      </x:c>
      <x:c r="F9" s="12" t="str">
        <x:f>IF(Odometry_Raw!B7&lt;&gt;"",Odometry_Raw!G7,"")</x:f>
      </x:c>
      <x:c r="G9" s="12" t="str">
        <x:f>IF(Odometry_Raw!B7&lt;&gt;"",Odometry_Raw!H7,"")</x:f>
      </x:c>
      <x:c r="H9" s="12" t="str">
        <x:f>IF(Odometry_Raw!B7&lt;&gt;"",Odometry_Raw!I7,"")</x:f>
      </x:c>
      <x:c r="I9" s="12" t="str">
        <x:f>IF(Odometry_Raw!B7&lt;&gt;"",Odometry_Raw!Q7,"")</x:f>
      </x:c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f>IF(Odometry_Raw!B8&lt;&gt;"",7,"")</x:f>
      </x:c>
      <x:c r="B10" s="12" t="str">
        <x:f>IF(Odometry_Raw!B8&lt;&gt;"",Odometry_Raw!B8,"")</x:f>
      </x:c>
      <x:c r="C10" s="12" t="str">
        <x:f>IF(Odometry_Raw!B8&lt;&gt;"",Odometry_Raw!C8,"")</x:f>
      </x:c>
      <x:c r="D10" s="12" t="str">
        <x:f>IF(Odometry_Raw!B8&lt;&gt;"",Odometry_Raw!D8,"")</x:f>
      </x:c>
      <x:c r="E10" s="12" t="str">
        <x:f>IF(Odometry_Raw!B8&lt;&gt;"",Odometry_Raw!F8,"")</x:f>
      </x:c>
      <x:c r="F10" s="12" t="str">
        <x:f>IF(Odometry_Raw!B8&lt;&gt;"",Odometry_Raw!G8,"")</x:f>
      </x:c>
      <x:c r="G10" s="12" t="str">
        <x:f>IF(Odometry_Raw!B8&lt;&gt;"",Odometry_Raw!H8,"")</x:f>
      </x:c>
      <x:c r="H10" s="12" t="str">
        <x:f>IF(Odometry_Raw!B8&lt;&gt;"",Odometry_Raw!I8,"")</x:f>
      </x:c>
      <x:c r="I10" s="12" t="str">
        <x:f>IF(Odometry_Raw!B8&lt;&gt;"",Odometry_Raw!Q8,"")</x:f>
      </x:c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f>IF(Odometry_Raw!B9&lt;&gt;"",8,"")</x:f>
      </x:c>
      <x:c r="B11" s="12" t="str">
        <x:f>IF(Odometry_Raw!B9&lt;&gt;"",Odometry_Raw!B9,"")</x:f>
      </x:c>
      <x:c r="C11" s="12" t="str">
        <x:f>IF(Odometry_Raw!B9&lt;&gt;"",Odometry_Raw!C9,"")</x:f>
      </x:c>
      <x:c r="D11" s="12" t="str">
        <x:f>IF(Odometry_Raw!B9&lt;&gt;"",Odometry_Raw!D9,"")</x:f>
      </x:c>
      <x:c r="E11" s="12" t="str">
        <x:f>IF(Odometry_Raw!B9&lt;&gt;"",Odometry_Raw!F9,"")</x:f>
      </x:c>
      <x:c r="F11" s="12" t="str">
        <x:f>IF(Odometry_Raw!B9&lt;&gt;"",Odometry_Raw!G9,"")</x:f>
      </x:c>
      <x:c r="G11" s="12" t="str">
        <x:f>IF(Odometry_Raw!B9&lt;&gt;"",Odometry_Raw!H9,"")</x:f>
      </x:c>
      <x:c r="H11" s="12" t="str">
        <x:f>IF(Odometry_Raw!B9&lt;&gt;"",Odometry_Raw!I9,"")</x:f>
      </x:c>
      <x:c r="I11" s="12" t="str">
        <x:f>IF(Odometry_Raw!B9&lt;&gt;"",Odometry_Raw!Q9,"")</x:f>
      </x:c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f>IF(Odometry_Raw!B10&lt;&gt;"",9,"")</x:f>
      </x:c>
      <x:c r="B12" s="12" t="str">
        <x:f>IF(Odometry_Raw!B10&lt;&gt;"",Odometry_Raw!B10,"")</x:f>
      </x:c>
      <x:c r="C12" s="12" t="str">
        <x:f>IF(Odometry_Raw!B10&lt;&gt;"",Odometry_Raw!C10,"")</x:f>
      </x:c>
      <x:c r="D12" s="12" t="str">
        <x:f>IF(Odometry_Raw!B10&lt;&gt;"",Odometry_Raw!D10,"")</x:f>
      </x:c>
      <x:c r="E12" s="12" t="str">
        <x:f>IF(Odometry_Raw!B10&lt;&gt;"",Odometry_Raw!F10,"")</x:f>
      </x:c>
      <x:c r="F12" s="12" t="str">
        <x:f>IF(Odometry_Raw!B10&lt;&gt;"",Odometry_Raw!G10,"")</x:f>
      </x:c>
      <x:c r="G12" s="12" t="str">
        <x:f>IF(Odometry_Raw!B10&lt;&gt;"",Odometry_Raw!H10,"")</x:f>
      </x:c>
      <x:c r="H12" s="12" t="str">
        <x:f>IF(Odometry_Raw!B10&lt;&gt;"",Odometry_Raw!I10,"")</x:f>
      </x:c>
      <x:c r="I12" s="12" t="str">
        <x:f>IF(Odometry_Raw!B10&lt;&gt;"",Odometry_Raw!Q10,"")</x:f>
      </x:c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>
        <x:f>IF(Odometry_Raw!B11&lt;&gt;"",10,"")</x:f>
      </x:c>
      <x:c r="B13" s="12" t="str">
        <x:f>IF(Odometry_Raw!B11&lt;&gt;"",Odometry_Raw!B11,"")</x:f>
      </x:c>
      <x:c r="C13" s="12" t="str">
        <x:f>IF(Odometry_Raw!B11&lt;&gt;"",Odometry_Raw!C11,"")</x:f>
      </x:c>
      <x:c r="D13" s="12" t="str">
        <x:f>IF(Odometry_Raw!B11&lt;&gt;"",Odometry_Raw!D11,"")</x:f>
      </x:c>
      <x:c r="E13" s="12" t="str">
        <x:f>IF(Odometry_Raw!B11&lt;&gt;"",Odometry_Raw!F11,"")</x:f>
      </x:c>
      <x:c r="F13" s="12" t="str">
        <x:f>IF(Odometry_Raw!B11&lt;&gt;"",Odometry_Raw!G11,"")</x:f>
      </x:c>
      <x:c r="G13" s="12" t="str">
        <x:f>IF(Odometry_Raw!B11&lt;&gt;"",Odometry_Raw!H11,"")</x:f>
      </x:c>
      <x:c r="H13" s="12" t="str">
        <x:f>IF(Odometry_Raw!B11&lt;&gt;"",Odometry_Raw!I11,"")</x:f>
      </x:c>
      <x:c r="I13" s="12" t="str">
        <x:f>IF(Odometry_Raw!B11&lt;&gt;"",Odometry_Raw!Q11,"")</x:f>
      </x:c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>
        <x:f>IF(Odometry_Raw!B12&lt;&gt;"",11,"")</x:f>
      </x:c>
      <x:c r="B14" s="12" t="str">
        <x:f>IF(Odometry_Raw!B12&lt;&gt;"",Odometry_Raw!B12,"")</x:f>
      </x:c>
      <x:c r="C14" s="12" t="str">
        <x:f>IF(Odometry_Raw!B12&lt;&gt;"",Odometry_Raw!C12,"")</x:f>
      </x:c>
      <x:c r="D14" s="12" t="str">
        <x:f>IF(Odometry_Raw!B12&lt;&gt;"",Odometry_Raw!D12,"")</x:f>
      </x:c>
      <x:c r="E14" s="12" t="str">
        <x:f>IF(Odometry_Raw!B12&lt;&gt;"",Odometry_Raw!F12,"")</x:f>
      </x:c>
      <x:c r="F14" s="12" t="str">
        <x:f>IF(Odometry_Raw!B12&lt;&gt;"",Odometry_Raw!G12,"")</x:f>
      </x:c>
      <x:c r="G14" s="12" t="str">
        <x:f>IF(Odometry_Raw!B12&lt;&gt;"",Odometry_Raw!H12,"")</x:f>
      </x:c>
      <x:c r="H14" s="12" t="str">
        <x:f>IF(Odometry_Raw!B12&lt;&gt;"",Odometry_Raw!I12,"")</x:f>
      </x:c>
      <x:c r="I14" s="12" t="str">
        <x:f>IF(Odometry_Raw!B12&lt;&gt;"",Odometry_Raw!Q12,"")</x:f>
      </x:c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 t="str">
        <x:f>IF(Odometry_Raw!B13&lt;&gt;"",12,"")</x:f>
      </x:c>
      <x:c r="B15" s="12" t="str">
        <x:f>IF(Odometry_Raw!B13&lt;&gt;"",Odometry_Raw!B13,"")</x:f>
      </x:c>
      <x:c r="C15" s="12" t="str">
        <x:f>IF(Odometry_Raw!B13&lt;&gt;"",Odometry_Raw!C13,"")</x:f>
      </x:c>
      <x:c r="D15" s="12" t="str">
        <x:f>IF(Odometry_Raw!B13&lt;&gt;"",Odometry_Raw!D13,"")</x:f>
      </x:c>
      <x:c r="E15" s="12" t="str">
        <x:f>IF(Odometry_Raw!B13&lt;&gt;"",Odometry_Raw!F13,"")</x:f>
      </x:c>
      <x:c r="F15" s="12" t="str">
        <x:f>IF(Odometry_Raw!B13&lt;&gt;"",Odometry_Raw!G13,"")</x:f>
      </x:c>
      <x:c r="G15" s="12" t="str">
        <x:f>IF(Odometry_Raw!B13&lt;&gt;"",Odometry_Raw!H13,"")</x:f>
      </x:c>
      <x:c r="H15" s="12" t="str">
        <x:f>IF(Odometry_Raw!B13&lt;&gt;"",Odometry_Raw!I13,"")</x:f>
      </x:c>
      <x:c r="I15" s="12" t="str">
        <x:f>IF(Odometry_Raw!B13&lt;&gt;"",Odometry_Raw!Q13,"")</x:f>
      </x:c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>
        <x:f>IF(Odometry_Raw!B14&lt;&gt;"",13,"")</x:f>
      </x:c>
      <x:c r="B16" s="12" t="str">
        <x:f>IF(Odometry_Raw!B14&lt;&gt;"",Odometry_Raw!B14,"")</x:f>
      </x:c>
      <x:c r="C16" s="12" t="str">
        <x:f>IF(Odometry_Raw!B14&lt;&gt;"",Odometry_Raw!C14,"")</x:f>
      </x:c>
      <x:c r="D16" s="12" t="str">
        <x:f>IF(Odometry_Raw!B14&lt;&gt;"",Odometry_Raw!D14,"")</x:f>
      </x:c>
      <x:c r="E16" s="12" t="str">
        <x:f>IF(Odometry_Raw!B14&lt;&gt;"",Odometry_Raw!F14,"")</x:f>
      </x:c>
      <x:c r="F16" s="12" t="str">
        <x:f>IF(Odometry_Raw!B14&lt;&gt;"",Odometry_Raw!G14,"")</x:f>
      </x:c>
      <x:c r="G16" s="12" t="str">
        <x:f>IF(Odometry_Raw!B14&lt;&gt;"",Odometry_Raw!H14,"")</x:f>
      </x:c>
      <x:c r="H16" s="12" t="str">
        <x:f>IF(Odometry_Raw!B14&lt;&gt;"",Odometry_Raw!I14,"")</x:f>
      </x:c>
      <x:c r="I16" s="12" t="str">
        <x:f>IF(Odometry_Raw!B14&lt;&gt;"",Odometry_Raw!Q14,"")</x:f>
      </x:c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>
        <x:f>IF(Odometry_Raw!B15&lt;&gt;"",14,"")</x:f>
      </x:c>
      <x:c r="B17" s="12" t="str">
        <x:f>IF(Odometry_Raw!B15&lt;&gt;"",Odometry_Raw!B15,"")</x:f>
      </x:c>
      <x:c r="C17" s="12" t="str">
        <x:f>IF(Odometry_Raw!B15&lt;&gt;"",Odometry_Raw!C15,"")</x:f>
      </x:c>
      <x:c r="D17" s="12" t="str">
        <x:f>IF(Odometry_Raw!B15&lt;&gt;"",Odometry_Raw!D15,"")</x:f>
      </x:c>
      <x:c r="E17" s="12" t="str">
        <x:f>IF(Odometry_Raw!B15&lt;&gt;"",Odometry_Raw!F15,"")</x:f>
      </x:c>
      <x:c r="F17" s="12" t="str">
        <x:f>IF(Odometry_Raw!B15&lt;&gt;"",Odometry_Raw!G15,"")</x:f>
      </x:c>
      <x:c r="G17" s="12" t="str">
        <x:f>IF(Odometry_Raw!B15&lt;&gt;"",Odometry_Raw!H15,"")</x:f>
      </x:c>
      <x:c r="H17" s="12" t="str">
        <x:f>IF(Odometry_Raw!B15&lt;&gt;"",Odometry_Raw!I15,"")</x:f>
      </x:c>
      <x:c r="I17" s="12" t="str">
        <x:f>IF(Odometry_Raw!B15&lt;&gt;"",Odometry_Raw!Q15,"")</x:f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>
        <x:f>IF(Odometry_Raw!B16&lt;&gt;"",15,"")</x:f>
      </x:c>
      <x:c r="B18" s="12" t="str">
        <x:f>IF(Odometry_Raw!B16&lt;&gt;"",Odometry_Raw!B16,"")</x:f>
      </x:c>
      <x:c r="C18" s="12" t="str">
        <x:f>IF(Odometry_Raw!B16&lt;&gt;"",Odometry_Raw!C16,"")</x:f>
      </x:c>
      <x:c r="D18" s="12" t="str">
        <x:f>IF(Odometry_Raw!B16&lt;&gt;"",Odometry_Raw!D16,"")</x:f>
      </x:c>
      <x:c r="E18" s="12" t="str">
        <x:f>IF(Odometry_Raw!B16&lt;&gt;"",Odometry_Raw!F16,"")</x:f>
      </x:c>
      <x:c r="F18" s="12" t="str">
        <x:f>IF(Odometry_Raw!B16&lt;&gt;"",Odometry_Raw!G16,"")</x:f>
      </x:c>
      <x:c r="G18" s="12" t="str">
        <x:f>IF(Odometry_Raw!B16&lt;&gt;"",Odometry_Raw!H16,"")</x:f>
      </x:c>
      <x:c r="H18" s="12" t="str">
        <x:f>IF(Odometry_Raw!B16&lt;&gt;"",Odometry_Raw!I16,"")</x:f>
      </x:c>
      <x:c r="I18" s="12" t="str">
        <x:f>IF(Odometry_Raw!B16&lt;&gt;"",Odometry_Raw!Q16,"")</x:f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>
        <x:f>IF(Odometry_Raw!B17&lt;&gt;"",16,"")</x:f>
      </x:c>
      <x:c r="B19" s="12" t="str">
        <x:f>IF(Odometry_Raw!B17&lt;&gt;"",Odometry_Raw!B17,"")</x:f>
      </x:c>
      <x:c r="C19" s="12" t="str">
        <x:f>IF(Odometry_Raw!B17&lt;&gt;"",Odometry_Raw!C17,"")</x:f>
      </x:c>
      <x:c r="D19" s="12" t="str">
        <x:f>IF(Odometry_Raw!B17&lt;&gt;"",Odometry_Raw!D17,"")</x:f>
      </x:c>
      <x:c r="E19" s="12" t="str">
        <x:f>IF(Odometry_Raw!B17&lt;&gt;"",Odometry_Raw!F17,"")</x:f>
      </x:c>
      <x:c r="F19" s="12" t="str">
        <x:f>IF(Odometry_Raw!B17&lt;&gt;"",Odometry_Raw!G17,"")</x:f>
      </x:c>
      <x:c r="G19" s="12" t="str">
        <x:f>IF(Odometry_Raw!B17&lt;&gt;"",Odometry_Raw!H17,"")</x:f>
      </x:c>
      <x:c r="H19" s="12" t="str">
        <x:f>IF(Odometry_Raw!B17&lt;&gt;"",Odometry_Raw!I17,"")</x:f>
      </x:c>
      <x:c r="I19" s="12" t="str">
        <x:f>IF(Odometry_Raw!B17&lt;&gt;"",Odometry_Raw!Q17,"")</x:f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>
        <x:f>IF(Odometry_Raw!B18&lt;&gt;"",17,"")</x:f>
      </x:c>
      <x:c r="B20" s="12" t="str">
        <x:f>IF(Odometry_Raw!B18&lt;&gt;"",Odometry_Raw!B18,"")</x:f>
      </x:c>
      <x:c r="C20" s="12" t="str">
        <x:f>IF(Odometry_Raw!B18&lt;&gt;"",Odometry_Raw!C18,"")</x:f>
      </x:c>
      <x:c r="D20" s="12" t="str">
        <x:f>IF(Odometry_Raw!B18&lt;&gt;"",Odometry_Raw!D18,"")</x:f>
      </x:c>
      <x:c r="E20" s="12" t="str">
        <x:f>IF(Odometry_Raw!B18&lt;&gt;"",Odometry_Raw!F18,"")</x:f>
      </x:c>
      <x:c r="F20" s="12" t="str">
        <x:f>IF(Odometry_Raw!B18&lt;&gt;"",Odometry_Raw!G18,"")</x:f>
      </x:c>
      <x:c r="G20" s="12" t="str">
        <x:f>IF(Odometry_Raw!B18&lt;&gt;"",Odometry_Raw!H18,"")</x:f>
      </x:c>
      <x:c r="H20" s="12" t="str">
        <x:f>IF(Odometry_Raw!B18&lt;&gt;"",Odometry_Raw!I18,"")</x:f>
      </x:c>
      <x:c r="I20" s="12" t="str">
        <x:f>IF(Odometry_Raw!B18&lt;&gt;"",Odometry_Raw!Q18,"")</x:f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 t="str">
        <x:f>IF(Odometry_Raw!B19&lt;&gt;"",18,"")</x:f>
      </x:c>
      <x:c r="B21" s="12" t="str">
        <x:f>IF(Odometry_Raw!B19&lt;&gt;"",Odometry_Raw!B19,"")</x:f>
      </x:c>
      <x:c r="C21" s="12" t="str">
        <x:f>IF(Odometry_Raw!B19&lt;&gt;"",Odometry_Raw!C19,"")</x:f>
      </x:c>
      <x:c r="D21" s="12" t="str">
        <x:f>IF(Odometry_Raw!B19&lt;&gt;"",Odometry_Raw!D19,"")</x:f>
      </x:c>
      <x:c r="E21" s="12" t="str">
        <x:f>IF(Odometry_Raw!B19&lt;&gt;"",Odometry_Raw!F19,"")</x:f>
      </x:c>
      <x:c r="F21" s="12" t="str">
        <x:f>IF(Odometry_Raw!B19&lt;&gt;"",Odometry_Raw!G19,"")</x:f>
      </x:c>
      <x:c r="G21" s="12" t="str">
        <x:f>IF(Odometry_Raw!B19&lt;&gt;"",Odometry_Raw!H19,"")</x:f>
      </x:c>
      <x:c r="H21" s="12" t="str">
        <x:f>IF(Odometry_Raw!B19&lt;&gt;"",Odometry_Raw!I19,"")</x:f>
      </x:c>
      <x:c r="I21" s="12" t="str">
        <x:f>IF(Odometry_Raw!B19&lt;&gt;"",Odometry_Raw!Q19,"")</x:f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 t="str">
        <x:f>IF(Odometry_Raw!B20&lt;&gt;"",19,"")</x:f>
      </x:c>
      <x:c r="B22" s="12" t="str">
        <x:f>IF(Odometry_Raw!B20&lt;&gt;"",Odometry_Raw!B20,"")</x:f>
      </x:c>
      <x:c r="C22" s="12" t="str">
        <x:f>IF(Odometry_Raw!B20&lt;&gt;"",Odometry_Raw!C20,"")</x:f>
      </x:c>
      <x:c r="D22" s="12" t="str">
        <x:f>IF(Odometry_Raw!B20&lt;&gt;"",Odometry_Raw!D20,"")</x:f>
      </x:c>
      <x:c r="E22" s="12" t="str">
        <x:f>IF(Odometry_Raw!B20&lt;&gt;"",Odometry_Raw!F20,"")</x:f>
      </x:c>
      <x:c r="F22" s="12" t="str">
        <x:f>IF(Odometry_Raw!B20&lt;&gt;"",Odometry_Raw!G20,"")</x:f>
      </x:c>
      <x:c r="G22" s="12" t="str">
        <x:f>IF(Odometry_Raw!B20&lt;&gt;"",Odometry_Raw!H20,"")</x:f>
      </x:c>
      <x:c r="H22" s="12" t="str">
        <x:f>IF(Odometry_Raw!B20&lt;&gt;"",Odometry_Raw!I20,"")</x:f>
      </x:c>
      <x:c r="I22" s="12" t="str">
        <x:f>IF(Odometry_Raw!B20&lt;&gt;"",Odometry_Raw!Q20,"")</x:f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 t="str">
        <x:f>IF(Odometry_Raw!B21&lt;&gt;"",20,"")</x:f>
      </x:c>
      <x:c r="B23" s="12" t="str">
        <x:f>IF(Odometry_Raw!B21&lt;&gt;"",Odometry_Raw!B21,"")</x:f>
      </x:c>
      <x:c r="C23" s="12" t="str">
        <x:f>IF(Odometry_Raw!B21&lt;&gt;"",Odometry_Raw!C21,"")</x:f>
      </x:c>
      <x:c r="D23" s="12" t="str">
        <x:f>IF(Odometry_Raw!B21&lt;&gt;"",Odometry_Raw!D21,"")</x:f>
      </x:c>
      <x:c r="E23" s="12" t="str">
        <x:f>IF(Odometry_Raw!B21&lt;&gt;"",Odometry_Raw!F21,"")</x:f>
      </x:c>
      <x:c r="F23" s="12" t="str">
        <x:f>IF(Odometry_Raw!B21&lt;&gt;"",Odometry_Raw!G21,"")</x:f>
      </x:c>
      <x:c r="G23" s="12" t="str">
        <x:f>IF(Odometry_Raw!B21&lt;&gt;"",Odometry_Raw!H21,"")</x:f>
      </x:c>
      <x:c r="H23" s="12" t="str">
        <x:f>IF(Odometry_Raw!B21&lt;&gt;"",Odometry_Raw!I21,"")</x:f>
      </x:c>
      <x:c r="I23" s="12" t="str">
        <x:f>IF(Odometry_Raw!B21&lt;&gt;"",Odometry_Raw!Q21,"")</x:f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 t="str">
        <x:f>IF(Odometry_Raw!B22&lt;&gt;"",21,"")</x:f>
      </x:c>
      <x:c r="B24" s="12" t="str">
        <x:f>IF(Odometry_Raw!B22&lt;&gt;"",Odometry_Raw!B22,"")</x:f>
      </x:c>
      <x:c r="C24" s="12" t="str">
        <x:f>IF(Odometry_Raw!B22&lt;&gt;"",Odometry_Raw!C22,"")</x:f>
      </x:c>
      <x:c r="D24" s="12" t="str">
        <x:f>IF(Odometry_Raw!B22&lt;&gt;"",Odometry_Raw!D22,"")</x:f>
      </x:c>
      <x:c r="E24" s="12" t="str">
        <x:f>IF(Odometry_Raw!B22&lt;&gt;"",Odometry_Raw!F22,"")</x:f>
      </x:c>
      <x:c r="F24" s="12" t="str">
        <x:f>IF(Odometry_Raw!B22&lt;&gt;"",Odometry_Raw!G22,"")</x:f>
      </x:c>
      <x:c r="G24" s="12" t="str">
        <x:f>IF(Odometry_Raw!B22&lt;&gt;"",Odometry_Raw!H22,"")</x:f>
      </x:c>
      <x:c r="H24" s="12" t="str">
        <x:f>IF(Odometry_Raw!B22&lt;&gt;"",Odometry_Raw!I22,"")</x:f>
      </x:c>
      <x:c r="I24" s="12" t="str">
        <x:f>IF(Odometry_Raw!B22&lt;&gt;"",Odometry_Raw!Q22,"")</x:f>
      </x:c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 t="str">
        <x:f>IF(Odometry_Raw!B23&lt;&gt;"",22,"")</x:f>
      </x:c>
      <x:c r="B25" s="12" t="str">
        <x:f>IF(Odometry_Raw!B23&lt;&gt;"",Odometry_Raw!B23,"")</x:f>
      </x:c>
      <x:c r="C25" s="12" t="str">
        <x:f>IF(Odometry_Raw!B23&lt;&gt;"",Odometry_Raw!C23,"")</x:f>
      </x:c>
      <x:c r="D25" s="12" t="str">
        <x:f>IF(Odometry_Raw!B23&lt;&gt;"",Odometry_Raw!D23,"")</x:f>
      </x:c>
      <x:c r="E25" s="12" t="str">
        <x:f>IF(Odometry_Raw!B23&lt;&gt;"",Odometry_Raw!F23,"")</x:f>
      </x:c>
      <x:c r="F25" s="12" t="str">
        <x:f>IF(Odometry_Raw!B23&lt;&gt;"",Odometry_Raw!G23,"")</x:f>
      </x:c>
      <x:c r="G25" s="12" t="str">
        <x:f>IF(Odometry_Raw!B23&lt;&gt;"",Odometry_Raw!H23,"")</x:f>
      </x:c>
      <x:c r="H25" s="12" t="str">
        <x:f>IF(Odometry_Raw!B23&lt;&gt;"",Odometry_Raw!I23,"")</x:f>
      </x:c>
      <x:c r="I25" s="12" t="str">
        <x:f>IF(Odometry_Raw!B23&lt;&gt;"",Odometry_Raw!Q23,"")</x:f>
      </x:c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 t="str">
        <x:f>IF(Odometry_Raw!B24&lt;&gt;"",23,"")</x:f>
      </x:c>
      <x:c r="B26" s="12" t="str">
        <x:f>IF(Odometry_Raw!B24&lt;&gt;"",Odometry_Raw!B24,"")</x:f>
      </x:c>
      <x:c r="C26" s="12" t="str">
        <x:f>IF(Odometry_Raw!B24&lt;&gt;"",Odometry_Raw!C24,"")</x:f>
      </x:c>
      <x:c r="D26" s="12" t="str">
        <x:f>IF(Odometry_Raw!B24&lt;&gt;"",Odometry_Raw!D24,"")</x:f>
      </x:c>
      <x:c r="E26" s="12" t="str">
        <x:f>IF(Odometry_Raw!B24&lt;&gt;"",Odometry_Raw!F24,"")</x:f>
      </x:c>
      <x:c r="F26" s="12" t="str">
        <x:f>IF(Odometry_Raw!B24&lt;&gt;"",Odometry_Raw!G24,"")</x:f>
      </x:c>
      <x:c r="G26" s="12" t="str">
        <x:f>IF(Odometry_Raw!B24&lt;&gt;"",Odometry_Raw!H24,"")</x:f>
      </x:c>
      <x:c r="H26" s="12" t="str">
        <x:f>IF(Odometry_Raw!B24&lt;&gt;"",Odometry_Raw!I24,"")</x:f>
      </x:c>
      <x:c r="I26" s="12" t="str">
        <x:f>IF(Odometry_Raw!B24&lt;&gt;"",Odometry_Raw!Q24,"")</x:f>
      </x:c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 t="str">
        <x:f>IF(Odometry_Raw!B25&lt;&gt;"",24,"")</x:f>
      </x:c>
      <x:c r="B27" s="12" t="str">
        <x:f>IF(Odometry_Raw!B25&lt;&gt;"",Odometry_Raw!B25,"")</x:f>
      </x:c>
      <x:c r="C27" s="12" t="str">
        <x:f>IF(Odometry_Raw!B25&lt;&gt;"",Odometry_Raw!C25,"")</x:f>
      </x:c>
      <x:c r="D27" s="12" t="str">
        <x:f>IF(Odometry_Raw!B25&lt;&gt;"",Odometry_Raw!D25,"")</x:f>
      </x:c>
      <x:c r="E27" s="12" t="str">
        <x:f>IF(Odometry_Raw!B25&lt;&gt;"",Odometry_Raw!F25,"")</x:f>
      </x:c>
      <x:c r="F27" s="12" t="str">
        <x:f>IF(Odometry_Raw!B25&lt;&gt;"",Odometry_Raw!G25,"")</x:f>
      </x:c>
      <x:c r="G27" s="12" t="str">
        <x:f>IF(Odometry_Raw!B25&lt;&gt;"",Odometry_Raw!H25,"")</x:f>
      </x:c>
      <x:c r="H27" s="12" t="str">
        <x:f>IF(Odometry_Raw!B25&lt;&gt;"",Odometry_Raw!I25,"")</x:f>
      </x:c>
      <x:c r="I27" s="12" t="str">
        <x:f>IF(Odometry_Raw!B25&lt;&gt;"",Odometry_Raw!Q25,"")</x:f>
      </x:c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 t="str">
        <x:f>IF(Odometry_Raw!B26&lt;&gt;"",25,"")</x:f>
      </x:c>
      <x:c r="B28" s="12" t="str">
        <x:f>IF(Odometry_Raw!B26&lt;&gt;"",Odometry_Raw!B26,"")</x:f>
      </x:c>
      <x:c r="C28" s="12" t="str">
        <x:f>IF(Odometry_Raw!B26&lt;&gt;"",Odometry_Raw!C26,"")</x:f>
      </x:c>
      <x:c r="D28" s="12" t="str">
        <x:f>IF(Odometry_Raw!B26&lt;&gt;"",Odometry_Raw!D26,"")</x:f>
      </x:c>
      <x:c r="E28" s="12" t="str">
        <x:f>IF(Odometry_Raw!B26&lt;&gt;"",Odometry_Raw!F26,"")</x:f>
      </x:c>
      <x:c r="F28" s="12" t="str">
        <x:f>IF(Odometry_Raw!B26&lt;&gt;"",Odometry_Raw!G26,"")</x:f>
      </x:c>
      <x:c r="G28" s="12" t="str">
        <x:f>IF(Odometry_Raw!B26&lt;&gt;"",Odometry_Raw!H26,"")</x:f>
      </x:c>
      <x:c r="H28" s="12" t="str">
        <x:f>IF(Odometry_Raw!B26&lt;&gt;"",Odometry_Raw!I26,"")</x:f>
      </x:c>
      <x:c r="I28" s="12" t="str">
        <x:f>IF(Odometry_Raw!B26&lt;&gt;"",Odometry_Raw!Q26,"")</x:f>
      </x:c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 t="str">
        <x:f>IF(Odometry_Raw!B27&lt;&gt;"",26,"")</x:f>
      </x:c>
      <x:c r="B29" s="12" t="str">
        <x:f>IF(Odometry_Raw!B27&lt;&gt;"",Odometry_Raw!B27,"")</x:f>
      </x:c>
      <x:c r="C29" s="12" t="str">
        <x:f>IF(Odometry_Raw!B27&lt;&gt;"",Odometry_Raw!C27,"")</x:f>
      </x:c>
      <x:c r="D29" s="12" t="str">
        <x:f>IF(Odometry_Raw!B27&lt;&gt;"",Odometry_Raw!D27,"")</x:f>
      </x:c>
      <x:c r="E29" s="12" t="str">
        <x:f>IF(Odometry_Raw!B27&lt;&gt;"",Odometry_Raw!F27,"")</x:f>
      </x:c>
      <x:c r="F29" s="12" t="str">
        <x:f>IF(Odometry_Raw!B27&lt;&gt;"",Odometry_Raw!G27,"")</x:f>
      </x:c>
      <x:c r="G29" s="12" t="str">
        <x:f>IF(Odometry_Raw!B27&lt;&gt;"",Odometry_Raw!H27,"")</x:f>
      </x:c>
      <x:c r="H29" s="12" t="str">
        <x:f>IF(Odometry_Raw!B27&lt;&gt;"",Odometry_Raw!I27,"")</x:f>
      </x:c>
      <x:c r="I29" s="12" t="str">
        <x:f>IF(Odometry_Raw!B27&lt;&gt;"",Odometry_Raw!Q27,"")</x:f>
      </x:c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 t="str">
        <x:f>IF(Odometry_Raw!B28&lt;&gt;"",27,"")</x:f>
      </x:c>
      <x:c r="B30" s="12" t="str">
        <x:f>IF(Odometry_Raw!B28&lt;&gt;"",Odometry_Raw!B28,"")</x:f>
      </x:c>
      <x:c r="C30" s="12" t="str">
        <x:f>IF(Odometry_Raw!B28&lt;&gt;"",Odometry_Raw!C28,"")</x:f>
      </x:c>
      <x:c r="D30" s="12" t="str">
        <x:f>IF(Odometry_Raw!B28&lt;&gt;"",Odometry_Raw!D28,"")</x:f>
      </x:c>
      <x:c r="E30" s="12" t="str">
        <x:f>IF(Odometry_Raw!B28&lt;&gt;"",Odometry_Raw!F28,"")</x:f>
      </x:c>
      <x:c r="F30" s="12" t="str">
        <x:f>IF(Odometry_Raw!B28&lt;&gt;"",Odometry_Raw!G28,"")</x:f>
      </x:c>
      <x:c r="G30" s="12" t="str">
        <x:f>IF(Odometry_Raw!B28&lt;&gt;"",Odometry_Raw!H28,"")</x:f>
      </x:c>
      <x:c r="H30" s="12" t="str">
        <x:f>IF(Odometry_Raw!B28&lt;&gt;"",Odometry_Raw!I28,"")</x:f>
      </x:c>
      <x:c r="I30" s="12" t="str">
        <x:f>IF(Odometry_Raw!B28&lt;&gt;"",Odometry_Raw!Q28,"")</x:f>
      </x:c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 t="str">
        <x:f>IF(Odometry_Raw!B29&lt;&gt;"",28,"")</x:f>
      </x:c>
      <x:c r="B31" s="12" t="str">
        <x:f>IF(Odometry_Raw!B29&lt;&gt;"",Odometry_Raw!B29,"")</x:f>
      </x:c>
      <x:c r="C31" s="12" t="str">
        <x:f>IF(Odometry_Raw!B29&lt;&gt;"",Odometry_Raw!C29,"")</x:f>
      </x:c>
      <x:c r="D31" s="12" t="str">
        <x:f>IF(Odometry_Raw!B29&lt;&gt;"",Odometry_Raw!D29,"")</x:f>
      </x:c>
      <x:c r="E31" s="12" t="str">
        <x:f>IF(Odometry_Raw!B29&lt;&gt;"",Odometry_Raw!F29,"")</x:f>
      </x:c>
      <x:c r="F31" s="12" t="str">
        <x:f>IF(Odometry_Raw!B29&lt;&gt;"",Odometry_Raw!G29,"")</x:f>
      </x:c>
      <x:c r="G31" s="12" t="str">
        <x:f>IF(Odometry_Raw!B29&lt;&gt;"",Odometry_Raw!H29,"")</x:f>
      </x:c>
      <x:c r="H31" s="12" t="str">
        <x:f>IF(Odometry_Raw!B29&lt;&gt;"",Odometry_Raw!I29,"")</x:f>
      </x:c>
      <x:c r="I31" s="12" t="str">
        <x:f>IF(Odometry_Raw!B29&lt;&gt;"",Odometry_Raw!Q29,"")</x:f>
      </x:c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 t="str">
        <x:f>IF(Odometry_Raw!B30&lt;&gt;"",29,"")</x:f>
      </x:c>
      <x:c r="B32" s="12" t="str">
        <x:f>IF(Odometry_Raw!B30&lt;&gt;"",Odometry_Raw!B30,"")</x:f>
      </x:c>
      <x:c r="C32" s="12" t="str">
        <x:f>IF(Odometry_Raw!B30&lt;&gt;"",Odometry_Raw!C30,"")</x:f>
      </x:c>
      <x:c r="D32" s="12" t="str">
        <x:f>IF(Odometry_Raw!B30&lt;&gt;"",Odometry_Raw!D30,"")</x:f>
      </x:c>
      <x:c r="E32" s="12" t="str">
        <x:f>IF(Odometry_Raw!B30&lt;&gt;"",Odometry_Raw!F30,"")</x:f>
      </x:c>
      <x:c r="F32" s="12" t="str">
        <x:f>IF(Odometry_Raw!B30&lt;&gt;"",Odometry_Raw!G30,"")</x:f>
      </x:c>
      <x:c r="G32" s="12" t="str">
        <x:f>IF(Odometry_Raw!B30&lt;&gt;"",Odometry_Raw!H30,"")</x:f>
      </x:c>
      <x:c r="H32" s="12" t="str">
        <x:f>IF(Odometry_Raw!B30&lt;&gt;"",Odometry_Raw!I30,"")</x:f>
      </x:c>
      <x:c r="I32" s="12" t="str">
        <x:f>IF(Odometry_Raw!B30&lt;&gt;"",Odometry_Raw!Q30,"")</x:f>
      </x:c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 t="str">
        <x:f>IF(Odometry_Raw!B31&lt;&gt;"",30,"")</x:f>
      </x:c>
      <x:c r="B33" s="12" t="str">
        <x:f>IF(Odometry_Raw!B31&lt;&gt;"",Odometry_Raw!B31,"")</x:f>
      </x:c>
      <x:c r="C33" s="12" t="str">
        <x:f>IF(Odometry_Raw!B31&lt;&gt;"",Odometry_Raw!C31,"")</x:f>
      </x:c>
      <x:c r="D33" s="12" t="str">
        <x:f>IF(Odometry_Raw!B31&lt;&gt;"",Odometry_Raw!D31,"")</x:f>
      </x:c>
      <x:c r="E33" s="12" t="str">
        <x:f>IF(Odometry_Raw!B31&lt;&gt;"",Odometry_Raw!F31,"")</x:f>
      </x:c>
      <x:c r="F33" s="12" t="str">
        <x:f>IF(Odometry_Raw!B31&lt;&gt;"",Odometry_Raw!G31,"")</x:f>
      </x:c>
      <x:c r="G33" s="12" t="str">
        <x:f>IF(Odometry_Raw!B31&lt;&gt;"",Odometry_Raw!H31,"")</x:f>
      </x:c>
      <x:c r="H33" s="12" t="str">
        <x:f>IF(Odometry_Raw!B31&lt;&gt;"",Odometry_Raw!I31,"")</x:f>
      </x:c>
      <x:c r="I33" s="12" t="str">
        <x:f>IF(Odometry_Raw!B31&lt;&gt;"",Odometry_Raw!Q31,"")</x:f>
      </x:c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26" t="str">
        <x:v>Ringkasan</x:v>
      </x:c>
      <x:c r="B36" s="26" t="str">
        <x:v>Nilai</x:v>
      </x:c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 t="str">
        <x:v>Jumlah Trial</x:v>
      </x:c>
      <x:c r="B37" s="12" t="n">
        <x:f>COUNT(Odometry_Raw!B2:B31)</x:f>
        <x:v>0</x:v>
      </x:c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 t="str">
        <x:v>Rata-rata Error (%)</x:v>
      </x:c>
      <x:c r="B38" s="32" t="n">
        <x:f>IFERROR(AVERAGE(Odometry_Raw!G2:G31),0)</x:f>
        <x:v>0</x:v>
      </x:c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 t="str">
        <x:v>Error Maksimum (%)</x:v>
      </x:c>
      <x:c r="B39" s="32" t="n">
        <x:f>IFERROR(MAX(Odometry_Raw!G2:G31),0)</x:f>
        <x:v>0</x:v>
      </x:c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 t="str">
        <x:v>Rata-rata Selisih (m)</x:v>
      </x:c>
      <x:c r="B40" s="32" t="n">
        <x:f>IFERROR(AVERAGE(Odometry_Raw!F2:F31),0)</x:f>
        <x:v>0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 t="str">
        <x:v>Total Sampel</x:v>
      </x:c>
      <x:c r="B41" s="12" t="n">
        <x:f>SUM(Odometry_Raw!I2:I31)</x:f>
        <x:v>0</x:v>
      </x:c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11f2be1f59d64d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130000114440918" hidden="0" customWidth="1"/>
    <x:col min="3" max="3" width="9.75" hidden="0" customWidth="1"/>
    <x:col min="4" max="4" width="11.380000114440918" hidden="0" customWidth="1"/>
    <x:col min="5" max="5" width="13.880000114440918" hidden="0" customWidth="1"/>
    <x:col min="6" max="6" width="11.25" hidden="0" customWidth="1"/>
    <x:col min="7" max="7" width="19.3799991607666" hidden="0" customWidth="1"/>
    <x:col min="8" max="8" width="17.25" hidden="0" customWidth="1"/>
    <x:col min="9" max="9" width="7.630000114440918" hidden="0" customWidth="1"/>
    <x:col min="10" max="10" width="9.880000114440918" hidden="0" customWidth="1"/>
    <x:col min="11" max="11" width="10" hidden="0" customWidth="1"/>
    <x:col min="12" max="12" width="9.75" hidden="0" customWidth="1"/>
    <x:col min="13" max="13" width="13.130000114440918" hidden="0" customWidth="1"/>
    <x:col min="14" max="14" width="7.380000114440918" hidden="0" customWidth="1"/>
    <x:col min="15" max="15" width="7.5" hidden="0" customWidth="1"/>
    <x:col min="16" max="16" width="9.630000114440918" hidden="0" customWidth="1"/>
    <x:col min="17" max="17" width="7.25" hidden="0" customWidth="1"/>
  </x:cols>
  <x:sheetData>
    <x:row r="1">
      <x:c r="A1" s="26" t="str">
        <x:v>timestamp</x:v>
      </x:c>
      <x:c r="B1" s="26" t="str">
        <x:v>trial</x:v>
      </x:c>
      <x:c r="C1" s="26" t="str">
        <x:v>map_file</x:v>
      </x:c>
      <x:c r="D1" s="26" t="str">
        <x:v>pose_topic</x:v>
      </x:c>
      <x:c r="E1" s="26" t="str">
        <x:v>message_type</x:v>
      </x:c>
      <x:c r="F1" s="26" t="str">
        <x:v>duration_s</x:v>
      </x:c>
      <x:c r="G1" s="26" t="str">
        <x:v>pose_message_count</x:v>
      </x:c>
      <x:c r="H1" s="26" t="str">
        <x:v>estimated_rate_hz</x:v>
      </x:c>
      <x:c r="I1" s="26" t="str">
        <x:v>status</x:v>
      </x:c>
      <x:c r="J1" s="26" t="str">
        <x:v>last_x_m</x:v>
      </x:c>
      <x:c r="K1" s="26" t="str">
        <x:v>last_y_m</x:v>
      </x:c>
      <x:c r="L1" s="26" t="str">
        <x:v>last_z_m</x:v>
      </x:c>
      <x:c r="M1" s="26" t="str">
        <x:v>last_yaw_rad</x:v>
      </x:c>
      <x:c r="N1" s="26" t="str">
        <x:v>cov_x</x:v>
      </x:c>
      <x:c r="O1" s="26" t="str">
        <x:v>cov_y</x:v>
      </x:c>
      <x:c r="P1" s="26" t="str">
        <x:v>cov_yaw</x:v>
      </x:c>
      <x:c r="Q1" s="26" t="str">
        <x:v>notes</x:v>
      </x:c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/>
      <x:c r="B2" s="12" t="str"/>
      <x:c r="C2" s="12" t="str"/>
      <x:c r="D2" s="12" t="str"/>
      <x:c r="E2" s="12" t="str"/>
      <x:c r="F2" s="32" t="str"/>
      <x:c r="G2" s="12" t="str"/>
      <x:c r="H2" s="32" t="str"/>
      <x:c r="I2" s="12" t="str"/>
      <x:c r="J2" s="32" t="str"/>
      <x:c r="K2" s="32" t="str"/>
      <x:c r="L2" s="32" t="str"/>
      <x:c r="M2" s="32" t="str"/>
      <x:c r="N2" s="32" t="str"/>
      <x:c r="O2" s="32" t="str"/>
      <x:c r="P2" s="32" t="str"/>
      <x:c r="Q2" s="12" t="str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/>
      <x:c r="B3" s="12" t="str"/>
      <x:c r="C3" s="12" t="str"/>
      <x:c r="D3" s="12" t="str"/>
      <x:c r="E3" s="12" t="str"/>
      <x:c r="F3" s="32" t="str"/>
      <x:c r="G3" s="12" t="str"/>
      <x:c r="H3" s="32" t="str"/>
      <x:c r="I3" s="12" t="str"/>
      <x:c r="J3" s="32" t="str"/>
      <x:c r="K3" s="32" t="str"/>
      <x:c r="L3" s="32" t="str"/>
      <x:c r="M3" s="32" t="str"/>
      <x:c r="N3" s="32" t="str"/>
      <x:c r="O3" s="32" t="str"/>
      <x:c r="P3" s="32" t="str"/>
      <x:c r="Q3" s="12" t="str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/>
      <x:c r="B4" s="12" t="str"/>
      <x:c r="C4" s="12" t="str"/>
      <x:c r="D4" s="12" t="str"/>
      <x:c r="E4" s="12" t="str"/>
      <x:c r="F4" s="32" t="str"/>
      <x:c r="G4" s="12" t="str"/>
      <x:c r="H4" s="32" t="str"/>
      <x:c r="I4" s="12" t="str"/>
      <x:c r="J4" s="32" t="str"/>
      <x:c r="K4" s="32" t="str"/>
      <x:c r="L4" s="32" t="str"/>
      <x:c r="M4" s="32" t="str"/>
      <x:c r="N4" s="32" t="str"/>
      <x:c r="O4" s="32" t="str"/>
      <x:c r="P4" s="32" t="str"/>
      <x:c r="Q4" s="12" t="str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/>
      <x:c r="B5" s="12" t="str"/>
      <x:c r="C5" s="12" t="str"/>
      <x:c r="D5" s="12" t="str"/>
      <x:c r="E5" s="12" t="str"/>
      <x:c r="F5" s="32" t="str"/>
      <x:c r="G5" s="12" t="str"/>
      <x:c r="H5" s="32" t="str"/>
      <x:c r="I5" s="12" t="str"/>
      <x:c r="J5" s="32" t="str"/>
      <x:c r="K5" s="32" t="str"/>
      <x:c r="L5" s="32" t="str"/>
      <x:c r="M5" s="32" t="str"/>
      <x:c r="N5" s="32" t="str"/>
      <x:c r="O5" s="32" t="str"/>
      <x:c r="P5" s="32" t="str"/>
      <x:c r="Q5" s="12" t="str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/>
      <x:c r="B6" s="12" t="str"/>
      <x:c r="C6" s="12" t="str"/>
      <x:c r="D6" s="12" t="str"/>
      <x:c r="E6" s="12" t="str"/>
      <x:c r="F6" s="32" t="str"/>
      <x:c r="G6" s="12" t="str"/>
      <x:c r="H6" s="32" t="str"/>
      <x:c r="I6" s="12" t="str"/>
      <x:c r="J6" s="32" t="str"/>
      <x:c r="K6" s="32" t="str"/>
      <x:c r="L6" s="32" t="str"/>
      <x:c r="M6" s="32" t="str"/>
      <x:c r="N6" s="32" t="str"/>
      <x:c r="O6" s="32" t="str"/>
      <x:c r="P6" s="32" t="str"/>
      <x:c r="Q6" s="12" t="str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/>
      <x:c r="B7" s="12" t="str"/>
      <x:c r="C7" s="12" t="str"/>
      <x:c r="D7" s="12" t="str"/>
      <x:c r="E7" s="12" t="str"/>
      <x:c r="F7" s="32" t="str"/>
      <x:c r="G7" s="12" t="str"/>
      <x:c r="H7" s="32" t="str"/>
      <x:c r="I7" s="12" t="str"/>
      <x:c r="J7" s="32" t="str"/>
      <x:c r="K7" s="32" t="str"/>
      <x:c r="L7" s="32" t="str"/>
      <x:c r="M7" s="32" t="str"/>
      <x:c r="N7" s="32" t="str"/>
      <x:c r="O7" s="32" t="str"/>
      <x:c r="P7" s="32" t="str"/>
      <x:c r="Q7" s="12" t="str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/>
      <x:c r="B8" s="12" t="str"/>
      <x:c r="C8" s="12" t="str"/>
      <x:c r="D8" s="12" t="str"/>
      <x:c r="E8" s="12" t="str"/>
      <x:c r="F8" s="32" t="str"/>
      <x:c r="G8" s="12" t="str"/>
      <x:c r="H8" s="32" t="str"/>
      <x:c r="I8" s="12" t="str"/>
      <x:c r="J8" s="32" t="str"/>
      <x:c r="K8" s="32" t="str"/>
      <x:c r="L8" s="32" t="str"/>
      <x:c r="M8" s="32" t="str"/>
      <x:c r="N8" s="32" t="str"/>
      <x:c r="O8" s="32" t="str"/>
      <x:c r="P8" s="32" t="str"/>
      <x:c r="Q8" s="12" t="str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/>
      <x:c r="B9" s="12" t="str"/>
      <x:c r="C9" s="12" t="str"/>
      <x:c r="D9" s="12" t="str"/>
      <x:c r="E9" s="12" t="str"/>
      <x:c r="F9" s="32" t="str"/>
      <x:c r="G9" s="12" t="str"/>
      <x:c r="H9" s="32" t="str"/>
      <x:c r="I9" s="12" t="str"/>
      <x:c r="J9" s="32" t="str"/>
      <x:c r="K9" s="32" t="str"/>
      <x:c r="L9" s="32" t="str"/>
      <x:c r="M9" s="32" t="str"/>
      <x:c r="N9" s="32" t="str"/>
      <x:c r="O9" s="32" t="str"/>
      <x:c r="P9" s="32" t="str"/>
      <x:c r="Q9" s="12" t="str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/>
      <x:c r="B10" s="12" t="str"/>
      <x:c r="C10" s="12" t="str"/>
      <x:c r="D10" s="12" t="str"/>
      <x:c r="E10" s="12" t="str"/>
      <x:c r="F10" s="32" t="str"/>
      <x:c r="G10" s="12" t="str"/>
      <x:c r="H10" s="32" t="str"/>
      <x:c r="I10" s="1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12" t="str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/>
      <x:c r="B11" s="12" t="str"/>
      <x:c r="C11" s="12" t="str"/>
      <x:c r="D11" s="12" t="str"/>
      <x:c r="E11" s="12" t="str"/>
      <x:c r="F11" s="32" t="str"/>
      <x:c r="G11" s="12" t="str"/>
      <x:c r="H11" s="32" t="str"/>
      <x:c r="I11" s="1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12" t="str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/>
      <x:c r="B12" s="12" t="str"/>
      <x:c r="C12" s="12" t="str"/>
      <x:c r="D12" s="12" t="str"/>
      <x:c r="E12" s="12" t="str"/>
      <x:c r="F12" s="32" t="str"/>
      <x:c r="G12" s="12" t="str"/>
      <x:c r="H12" s="32" t="str"/>
      <x:c r="I12" s="1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12" t="str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/>
      <x:c r="B13" s="12" t="str"/>
      <x:c r="C13" s="12" t="str"/>
      <x:c r="D13" s="12" t="str"/>
      <x:c r="E13" s="12" t="str"/>
      <x:c r="F13" s="32" t="str"/>
      <x:c r="G13" s="12" t="str"/>
      <x:c r="H13" s="32" t="str"/>
      <x:c r="I13" s="1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12" t="str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/>
      <x:c r="B14" s="12" t="str"/>
      <x:c r="C14" s="12" t="str"/>
      <x:c r="D14" s="12" t="str"/>
      <x:c r="E14" s="12" t="str"/>
      <x:c r="F14" s="32" t="str"/>
      <x:c r="G14" s="12" t="str"/>
      <x:c r="H14" s="32" t="str"/>
      <x:c r="I14" s="1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12" t="str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 t="str"/>
      <x:c r="B15" s="12" t="str"/>
      <x:c r="C15" s="12" t="str"/>
      <x:c r="D15" s="12" t="str"/>
      <x:c r="E15" s="12" t="str"/>
      <x:c r="F15" s="32" t="str"/>
      <x:c r="G15" s="12" t="str"/>
      <x:c r="H15" s="32" t="str"/>
      <x:c r="I15" s="1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12" t="str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/>
      <x:c r="B16" s="12" t="str"/>
      <x:c r="C16" s="12" t="str"/>
      <x:c r="D16" s="12" t="str"/>
      <x:c r="E16" s="12" t="str"/>
      <x:c r="F16" s="32" t="str"/>
      <x:c r="G16" s="12" t="str"/>
      <x:c r="H16" s="32" t="str"/>
      <x:c r="I16" s="1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12" t="str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/>
      <x:c r="B17" s="12" t="str"/>
      <x:c r="C17" s="12" t="str"/>
      <x:c r="D17" s="12" t="str"/>
      <x:c r="E17" s="12" t="str"/>
      <x:c r="F17" s="32" t="str"/>
      <x:c r="G17" s="12" t="str"/>
      <x:c r="H17" s="32" t="str"/>
      <x:c r="I17" s="1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12" t="str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/>
      <x:c r="B18" s="12" t="str"/>
      <x:c r="C18" s="12" t="str"/>
      <x:c r="D18" s="12" t="str"/>
      <x:c r="E18" s="12" t="str"/>
      <x:c r="F18" s="32" t="str"/>
      <x:c r="G18" s="12" t="str"/>
      <x:c r="H18" s="32" t="str"/>
      <x:c r="I18" s="1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12" t="str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/>
      <x:c r="B19" s="12" t="str"/>
      <x:c r="C19" s="12" t="str"/>
      <x:c r="D19" s="12" t="str"/>
      <x:c r="E19" s="12" t="str"/>
      <x:c r="F19" s="32" t="str"/>
      <x:c r="G19" s="12" t="str"/>
      <x:c r="H19" s="32" t="str"/>
      <x:c r="I19" s="1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12" t="str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/>
      <x:c r="B20" s="12" t="str"/>
      <x:c r="C20" s="12" t="str"/>
      <x:c r="D20" s="12" t="str"/>
      <x:c r="E20" s="12" t="str"/>
      <x:c r="F20" s="32" t="str"/>
      <x:c r="G20" s="12" t="str"/>
      <x:c r="H20" s="32" t="str"/>
      <x:c r="I20" s="1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12" t="str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 t="str"/>
      <x:c r="B21" s="12" t="str"/>
      <x:c r="C21" s="12" t="str"/>
      <x:c r="D21" s="12" t="str"/>
      <x:c r="E21" s="12" t="str"/>
      <x:c r="F21" s="32" t="str"/>
      <x:c r="G21" s="12" t="str"/>
      <x:c r="H21" s="32" t="str"/>
      <x:c r="I21" s="1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12" t="str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 t="str"/>
      <x:c r="B22" s="12" t="str"/>
      <x:c r="C22" s="12" t="str"/>
      <x:c r="D22" s="12" t="str"/>
      <x:c r="E22" s="12" t="str"/>
      <x:c r="F22" s="32" t="str"/>
      <x:c r="G22" s="12" t="str"/>
      <x:c r="H22" s="32" t="str"/>
      <x:c r="I22" s="1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12" t="str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 t="str"/>
      <x:c r="B23" s="12" t="str"/>
      <x:c r="C23" s="12" t="str"/>
      <x:c r="D23" s="12" t="str"/>
      <x:c r="E23" s="12" t="str"/>
      <x:c r="F23" s="32" t="str"/>
      <x:c r="G23" s="12" t="str"/>
      <x:c r="H23" s="32" t="str"/>
      <x:c r="I23" s="1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12" t="str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 t="str"/>
      <x:c r="B24" s="12" t="str"/>
      <x:c r="C24" s="12" t="str"/>
      <x:c r="D24" s="12" t="str"/>
      <x:c r="E24" s="12" t="str"/>
      <x:c r="F24" s="32" t="str"/>
      <x:c r="G24" s="12" t="str"/>
      <x:c r="H24" s="32" t="str"/>
      <x:c r="I24" s="1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12" t="str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 t="str"/>
      <x:c r="B25" s="12" t="str"/>
      <x:c r="C25" s="12" t="str"/>
      <x:c r="D25" s="12" t="str"/>
      <x:c r="E25" s="12" t="str"/>
      <x:c r="F25" s="32" t="str"/>
      <x:c r="G25" s="12" t="str"/>
      <x:c r="H25" s="32" t="str"/>
      <x:c r="I25" s="1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12" t="str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 t="str"/>
      <x:c r="B26" s="12" t="str"/>
      <x:c r="C26" s="12" t="str"/>
      <x:c r="D26" s="12" t="str"/>
      <x:c r="E26" s="12" t="str"/>
      <x:c r="F26" s="32" t="str"/>
      <x:c r="G26" s="12" t="str"/>
      <x:c r="H26" s="32" t="str"/>
      <x:c r="I26" s="1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12" t="str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 t="str"/>
      <x:c r="B27" s="12" t="str"/>
      <x:c r="C27" s="12" t="str"/>
      <x:c r="D27" s="12" t="str"/>
      <x:c r="E27" s="12" t="str"/>
      <x:c r="F27" s="32" t="str"/>
      <x:c r="G27" s="12" t="str"/>
      <x:c r="H27" s="32" t="str"/>
      <x:c r="I27" s="1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12" t="str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 t="str"/>
      <x:c r="B28" s="12" t="str"/>
      <x:c r="C28" s="12" t="str"/>
      <x:c r="D28" s="12" t="str"/>
      <x:c r="E28" s="12" t="str"/>
      <x:c r="F28" s="32" t="str"/>
      <x:c r="G28" s="12" t="str"/>
      <x:c r="H28" s="32" t="str"/>
      <x:c r="I28" s="1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12" t="str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 t="str"/>
      <x:c r="B29" s="12" t="str"/>
      <x:c r="C29" s="12" t="str"/>
      <x:c r="D29" s="12" t="str"/>
      <x:c r="E29" s="12" t="str"/>
      <x:c r="F29" s="32" t="str"/>
      <x:c r="G29" s="12" t="str"/>
      <x:c r="H29" s="32" t="str"/>
      <x:c r="I29" s="12" t="str"/>
      <x:c r="J29" s="32" t="str"/>
      <x:c r="K29" s="32" t="str"/>
      <x:c r="L29" s="32" t="str"/>
      <x:c r="M29" s="32" t="str"/>
      <x:c r="N29" s="32" t="str"/>
      <x:c r="O29" s="32" t="str"/>
      <x:c r="P29" s="32" t="str"/>
      <x:c r="Q29" s="12" t="str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 t="str"/>
      <x:c r="B30" s="12" t="str"/>
      <x:c r="C30" s="12" t="str"/>
      <x:c r="D30" s="12" t="str"/>
      <x:c r="E30" s="12" t="str"/>
      <x:c r="F30" s="32" t="str"/>
      <x:c r="G30" s="12" t="str"/>
      <x:c r="H30" s="32" t="str"/>
      <x:c r="I30" s="12" t="str"/>
      <x:c r="J30" s="32" t="str"/>
      <x:c r="K30" s="32" t="str"/>
      <x:c r="L30" s="32" t="str"/>
      <x:c r="M30" s="32" t="str"/>
      <x:c r="N30" s="32" t="str"/>
      <x:c r="O30" s="32" t="str"/>
      <x:c r="P30" s="32" t="str"/>
      <x:c r="Q30" s="12" t="str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 t="str"/>
      <x:c r="B31" s="12" t="str"/>
      <x:c r="C31" s="12" t="str"/>
      <x:c r="D31" s="12" t="str"/>
      <x:c r="E31" s="12" t="str"/>
      <x:c r="F31" s="32" t="str"/>
      <x:c r="G31" s="12" t="str"/>
      <x:c r="H31" s="32" t="str"/>
      <x:c r="I31" s="12" t="str"/>
      <x:c r="J31" s="32" t="str"/>
      <x:c r="K31" s="32" t="str"/>
      <x:c r="L31" s="32" t="str"/>
      <x:c r="M31" s="32" t="str"/>
      <x:c r="N31" s="32" t="str"/>
      <x:c r="O31" s="32" t="str"/>
      <x:c r="P31" s="32" t="str"/>
      <x:c r="Q31" s="12" t="str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46454a9b285a47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.75" hidden="0" customWidth="1"/>
    <x:col min="2" max="2" width="6.380000114440918" hidden="0" customWidth="1"/>
    <x:col min="3" max="3" width="14.380000114440918" hidden="0" customWidth="1"/>
    <x:col min="4" max="4" width="11" hidden="0" customWidth="1"/>
    <x:col min="5" max="5" width="10.130000114440918" hidden="0" customWidth="1"/>
    <x:col min="6" max="6" width="12.5" hidden="0" customWidth="1"/>
    <x:col min="7" max="7" width="10" hidden="0" customWidth="1"/>
    <x:col min="8" max="8" width="7.75" hidden="0" customWidth="1"/>
    <x:col min="9" max="9" width="17.6299991607666" hidden="0" customWidth="1"/>
    <x:col min="10" max="10" width="17.6299991607666" hidden="0" customWidth="1"/>
    <x:col min="11" max="11" width="10.25" hidden="0" customWidth="1"/>
    <x:col min="12" max="12" width="8.880000114440918" hidden="0" customWidth="1"/>
  </x:cols>
  <x:sheetData>
    <x:row r="1">
      <x:c r="A1" s="28" t="str">
        <x:v>Tabel Laporan: Localization terhadap Peta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26" t="str">
        <x:v>No</x:v>
      </x:c>
      <x:c r="B3" s="26" t="str">
        <x:v>Trial</x:v>
      </x:c>
      <x:c r="C3" s="26" t="str">
        <x:v>Peta/Database</x:v>
      </x:c>
      <x:c r="D3" s="26" t="str">
        <x:v>Topic Pose</x:v>
      </x:c>
      <x:c r="E3" s="26" t="str">
        <x:v>Durasi (s)</x:v>
      </x:c>
      <x:c r="F3" s="26" t="str">
        <x:v>Jumlah Pose</x:v>
      </x:c>
      <x:c r="G3" s="26" t="str">
        <x:v>Rate (Hz)</x:v>
      </x:c>
      <x:c r="H3" s="26" t="str">
        <x:v>Status</x:v>
      </x:c>
      <x:c r="I3" s="26" t="str">
        <x:v>Pose Terakhir X (m)</x:v>
      </x:c>
      <x:c r="J3" s="26" t="str">
        <x:v>Pose Terakhir Y (m)</x:v>
      </x:c>
      <x:c r="K3" s="26" t="str">
        <x:v>Yaw (rad)</x:v>
      </x:c>
      <x:c r="L3" s="26" t="str">
        <x:v>Catatan</x:v>
      </x:c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f>IF(Localization_Raw!B2&lt;&gt;"",1,"")</x:f>
      </x:c>
      <x:c r="B4" s="12" t="str">
        <x:f>IF(Localization_Raw!B2&lt;&gt;"",Localization_Raw!B2,"")</x:f>
      </x:c>
      <x:c r="C4" s="12" t="str">
        <x:f>IF(Localization_Raw!B2&lt;&gt;"",Localization_Raw!C2,"")</x:f>
      </x:c>
      <x:c r="D4" s="12" t="str">
        <x:f>IF(Localization_Raw!B2&lt;&gt;"",Localization_Raw!D2,"")</x:f>
      </x:c>
      <x:c r="E4" s="12" t="str">
        <x:f>IF(Localization_Raw!B2&lt;&gt;"",Localization_Raw!F2,"")</x:f>
      </x:c>
      <x:c r="F4" s="12" t="str">
        <x:f>IF(Localization_Raw!B2&lt;&gt;"",Localization_Raw!G2,"")</x:f>
      </x:c>
      <x:c r="G4" s="12" t="str">
        <x:f>IF(Localization_Raw!B2&lt;&gt;"",Localization_Raw!H2,"")</x:f>
      </x:c>
      <x:c r="H4" s="12" t="str">
        <x:f>IF(Localization_Raw!B2&lt;&gt;"",Localization_Raw!I2,"")</x:f>
      </x:c>
      <x:c r="I4" s="12" t="str">
        <x:f>IF(Localization_Raw!B2&lt;&gt;"",Localization_Raw!J2,"")</x:f>
      </x:c>
      <x:c r="J4" s="12" t="str">
        <x:f>IF(Localization_Raw!B2&lt;&gt;"",Localization_Raw!K2,"")</x:f>
      </x:c>
      <x:c r="K4" s="12" t="str">
        <x:f>IF(Localization_Raw!B2&lt;&gt;"",Localization_Raw!M2,"")</x:f>
      </x:c>
      <x:c r="L4" s="12" t="str">
        <x:f>IF(Localization_Raw!B2&lt;&gt;"",Localization_Raw!Q2,"")</x:f>
      </x:c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f>IF(Localization_Raw!B3&lt;&gt;"",2,"")</x:f>
      </x:c>
      <x:c r="B5" s="12" t="str">
        <x:f>IF(Localization_Raw!B3&lt;&gt;"",Localization_Raw!B3,"")</x:f>
      </x:c>
      <x:c r="C5" s="12" t="str">
        <x:f>IF(Localization_Raw!B3&lt;&gt;"",Localization_Raw!C3,"")</x:f>
      </x:c>
      <x:c r="D5" s="12" t="str">
        <x:f>IF(Localization_Raw!B3&lt;&gt;"",Localization_Raw!D3,"")</x:f>
      </x:c>
      <x:c r="E5" s="12" t="str">
        <x:f>IF(Localization_Raw!B3&lt;&gt;"",Localization_Raw!F3,"")</x:f>
      </x:c>
      <x:c r="F5" s="12" t="str">
        <x:f>IF(Localization_Raw!B3&lt;&gt;"",Localization_Raw!G3,"")</x:f>
      </x:c>
      <x:c r="G5" s="12" t="str">
        <x:f>IF(Localization_Raw!B3&lt;&gt;"",Localization_Raw!H3,"")</x:f>
      </x:c>
      <x:c r="H5" s="12" t="str">
        <x:f>IF(Localization_Raw!B3&lt;&gt;"",Localization_Raw!I3,"")</x:f>
      </x:c>
      <x:c r="I5" s="12" t="str">
        <x:f>IF(Localization_Raw!B3&lt;&gt;"",Localization_Raw!J3,"")</x:f>
      </x:c>
      <x:c r="J5" s="12" t="str">
        <x:f>IF(Localization_Raw!B3&lt;&gt;"",Localization_Raw!K3,"")</x:f>
      </x:c>
      <x:c r="K5" s="12" t="str">
        <x:f>IF(Localization_Raw!B3&lt;&gt;"",Localization_Raw!M3,"")</x:f>
      </x:c>
      <x:c r="L5" s="12" t="str">
        <x:f>IF(Localization_Raw!B3&lt;&gt;"",Localization_Raw!Q3,"")</x:f>
      </x:c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f>IF(Localization_Raw!B4&lt;&gt;"",3,"")</x:f>
      </x:c>
      <x:c r="B6" s="12" t="str">
        <x:f>IF(Localization_Raw!B4&lt;&gt;"",Localization_Raw!B4,"")</x:f>
      </x:c>
      <x:c r="C6" s="12" t="str">
        <x:f>IF(Localization_Raw!B4&lt;&gt;"",Localization_Raw!C4,"")</x:f>
      </x:c>
      <x:c r="D6" s="12" t="str">
        <x:f>IF(Localization_Raw!B4&lt;&gt;"",Localization_Raw!D4,"")</x:f>
      </x:c>
      <x:c r="E6" s="12" t="str">
        <x:f>IF(Localization_Raw!B4&lt;&gt;"",Localization_Raw!F4,"")</x:f>
      </x:c>
      <x:c r="F6" s="12" t="str">
        <x:f>IF(Localization_Raw!B4&lt;&gt;"",Localization_Raw!G4,"")</x:f>
      </x:c>
      <x:c r="G6" s="12" t="str">
        <x:f>IF(Localization_Raw!B4&lt;&gt;"",Localization_Raw!H4,"")</x:f>
      </x:c>
      <x:c r="H6" s="12" t="str">
        <x:f>IF(Localization_Raw!B4&lt;&gt;"",Localization_Raw!I4,"")</x:f>
      </x:c>
      <x:c r="I6" s="12" t="str">
        <x:f>IF(Localization_Raw!B4&lt;&gt;"",Localization_Raw!J4,"")</x:f>
      </x:c>
      <x:c r="J6" s="12" t="str">
        <x:f>IF(Localization_Raw!B4&lt;&gt;"",Localization_Raw!K4,"")</x:f>
      </x:c>
      <x:c r="K6" s="12" t="str">
        <x:f>IF(Localization_Raw!B4&lt;&gt;"",Localization_Raw!M4,"")</x:f>
      </x:c>
      <x:c r="L6" s="12" t="str">
        <x:f>IF(Localization_Raw!B4&lt;&gt;"",Localization_Raw!Q4,"")</x:f>
      </x:c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f>IF(Localization_Raw!B5&lt;&gt;"",4,"")</x:f>
      </x:c>
      <x:c r="B7" s="12" t="str">
        <x:f>IF(Localization_Raw!B5&lt;&gt;"",Localization_Raw!B5,"")</x:f>
      </x:c>
      <x:c r="C7" s="12" t="str">
        <x:f>IF(Localization_Raw!B5&lt;&gt;"",Localization_Raw!C5,"")</x:f>
      </x:c>
      <x:c r="D7" s="12" t="str">
        <x:f>IF(Localization_Raw!B5&lt;&gt;"",Localization_Raw!D5,"")</x:f>
      </x:c>
      <x:c r="E7" s="12" t="str">
        <x:f>IF(Localization_Raw!B5&lt;&gt;"",Localization_Raw!F5,"")</x:f>
      </x:c>
      <x:c r="F7" s="12" t="str">
        <x:f>IF(Localization_Raw!B5&lt;&gt;"",Localization_Raw!G5,"")</x:f>
      </x:c>
      <x:c r="G7" s="12" t="str">
        <x:f>IF(Localization_Raw!B5&lt;&gt;"",Localization_Raw!H5,"")</x:f>
      </x:c>
      <x:c r="H7" s="12" t="str">
        <x:f>IF(Localization_Raw!B5&lt;&gt;"",Localization_Raw!I5,"")</x:f>
      </x:c>
      <x:c r="I7" s="12" t="str">
        <x:f>IF(Localization_Raw!B5&lt;&gt;"",Localization_Raw!J5,"")</x:f>
      </x:c>
      <x:c r="J7" s="12" t="str">
        <x:f>IF(Localization_Raw!B5&lt;&gt;"",Localization_Raw!K5,"")</x:f>
      </x:c>
      <x:c r="K7" s="12" t="str">
        <x:f>IF(Localization_Raw!B5&lt;&gt;"",Localization_Raw!M5,"")</x:f>
      </x:c>
      <x:c r="L7" s="12" t="str">
        <x:f>IF(Localization_Raw!B5&lt;&gt;"",Localization_Raw!Q5,"")</x:f>
      </x:c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>
        <x:f>IF(Localization_Raw!B6&lt;&gt;"",5,"")</x:f>
      </x:c>
      <x:c r="B8" s="12" t="str">
        <x:f>IF(Localization_Raw!B6&lt;&gt;"",Localization_Raw!B6,"")</x:f>
      </x:c>
      <x:c r="C8" s="12" t="str">
        <x:f>IF(Localization_Raw!B6&lt;&gt;"",Localization_Raw!C6,"")</x:f>
      </x:c>
      <x:c r="D8" s="12" t="str">
        <x:f>IF(Localization_Raw!B6&lt;&gt;"",Localization_Raw!D6,"")</x:f>
      </x:c>
      <x:c r="E8" s="12" t="str">
        <x:f>IF(Localization_Raw!B6&lt;&gt;"",Localization_Raw!F6,"")</x:f>
      </x:c>
      <x:c r="F8" s="12" t="str">
        <x:f>IF(Localization_Raw!B6&lt;&gt;"",Localization_Raw!G6,"")</x:f>
      </x:c>
      <x:c r="G8" s="12" t="str">
        <x:f>IF(Localization_Raw!B6&lt;&gt;"",Localization_Raw!H6,"")</x:f>
      </x:c>
      <x:c r="H8" s="12" t="str">
        <x:f>IF(Localization_Raw!B6&lt;&gt;"",Localization_Raw!I6,"")</x:f>
      </x:c>
      <x:c r="I8" s="12" t="str">
        <x:f>IF(Localization_Raw!B6&lt;&gt;"",Localization_Raw!J6,"")</x:f>
      </x:c>
      <x:c r="J8" s="12" t="str">
        <x:f>IF(Localization_Raw!B6&lt;&gt;"",Localization_Raw!K6,"")</x:f>
      </x:c>
      <x:c r="K8" s="12" t="str">
        <x:f>IF(Localization_Raw!B6&lt;&gt;"",Localization_Raw!M6,"")</x:f>
      </x:c>
      <x:c r="L8" s="12" t="str">
        <x:f>IF(Localization_Raw!B6&lt;&gt;"",Localization_Raw!Q6,"")</x:f>
      </x:c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>
        <x:f>IF(Localization_Raw!B7&lt;&gt;"",6,"")</x:f>
      </x:c>
      <x:c r="B9" s="12" t="str">
        <x:f>IF(Localization_Raw!B7&lt;&gt;"",Localization_Raw!B7,"")</x:f>
      </x:c>
      <x:c r="C9" s="12" t="str">
        <x:f>IF(Localization_Raw!B7&lt;&gt;"",Localization_Raw!C7,"")</x:f>
      </x:c>
      <x:c r="D9" s="12" t="str">
        <x:f>IF(Localization_Raw!B7&lt;&gt;"",Localization_Raw!D7,"")</x:f>
      </x:c>
      <x:c r="E9" s="12" t="str">
        <x:f>IF(Localization_Raw!B7&lt;&gt;"",Localization_Raw!F7,"")</x:f>
      </x:c>
      <x:c r="F9" s="12" t="str">
        <x:f>IF(Localization_Raw!B7&lt;&gt;"",Localization_Raw!G7,"")</x:f>
      </x:c>
      <x:c r="G9" s="12" t="str">
        <x:f>IF(Localization_Raw!B7&lt;&gt;"",Localization_Raw!H7,"")</x:f>
      </x:c>
      <x:c r="H9" s="12" t="str">
        <x:f>IF(Localization_Raw!B7&lt;&gt;"",Localization_Raw!I7,"")</x:f>
      </x:c>
      <x:c r="I9" s="12" t="str">
        <x:f>IF(Localization_Raw!B7&lt;&gt;"",Localization_Raw!J7,"")</x:f>
      </x:c>
      <x:c r="J9" s="12" t="str">
        <x:f>IF(Localization_Raw!B7&lt;&gt;"",Localization_Raw!K7,"")</x:f>
      </x:c>
      <x:c r="K9" s="12" t="str">
        <x:f>IF(Localization_Raw!B7&lt;&gt;"",Localization_Raw!M7,"")</x:f>
      </x:c>
      <x:c r="L9" s="12" t="str">
        <x:f>IF(Localization_Raw!B7&lt;&gt;"",Localization_Raw!Q7,"")</x:f>
      </x:c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f>IF(Localization_Raw!B8&lt;&gt;"",7,"")</x:f>
      </x:c>
      <x:c r="B10" s="12" t="str">
        <x:f>IF(Localization_Raw!B8&lt;&gt;"",Localization_Raw!B8,"")</x:f>
      </x:c>
      <x:c r="C10" s="12" t="str">
        <x:f>IF(Localization_Raw!B8&lt;&gt;"",Localization_Raw!C8,"")</x:f>
      </x:c>
      <x:c r="D10" s="12" t="str">
        <x:f>IF(Localization_Raw!B8&lt;&gt;"",Localization_Raw!D8,"")</x:f>
      </x:c>
      <x:c r="E10" s="12" t="str">
        <x:f>IF(Localization_Raw!B8&lt;&gt;"",Localization_Raw!F8,"")</x:f>
      </x:c>
      <x:c r="F10" s="12" t="str">
        <x:f>IF(Localization_Raw!B8&lt;&gt;"",Localization_Raw!G8,"")</x:f>
      </x:c>
      <x:c r="G10" s="12" t="str">
        <x:f>IF(Localization_Raw!B8&lt;&gt;"",Localization_Raw!H8,"")</x:f>
      </x:c>
      <x:c r="H10" s="12" t="str">
        <x:f>IF(Localization_Raw!B8&lt;&gt;"",Localization_Raw!I8,"")</x:f>
      </x:c>
      <x:c r="I10" s="12" t="str">
        <x:f>IF(Localization_Raw!B8&lt;&gt;"",Localization_Raw!J8,"")</x:f>
      </x:c>
      <x:c r="J10" s="12" t="str">
        <x:f>IF(Localization_Raw!B8&lt;&gt;"",Localization_Raw!K8,"")</x:f>
      </x:c>
      <x:c r="K10" s="12" t="str">
        <x:f>IF(Localization_Raw!B8&lt;&gt;"",Localization_Raw!M8,"")</x:f>
      </x:c>
      <x:c r="L10" s="12" t="str">
        <x:f>IF(Localization_Raw!B8&lt;&gt;"",Localization_Raw!Q8,"")</x:f>
      </x:c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f>IF(Localization_Raw!B9&lt;&gt;"",8,"")</x:f>
      </x:c>
      <x:c r="B11" s="12" t="str">
        <x:f>IF(Localization_Raw!B9&lt;&gt;"",Localization_Raw!B9,"")</x:f>
      </x:c>
      <x:c r="C11" s="12" t="str">
        <x:f>IF(Localization_Raw!B9&lt;&gt;"",Localization_Raw!C9,"")</x:f>
      </x:c>
      <x:c r="D11" s="12" t="str">
        <x:f>IF(Localization_Raw!B9&lt;&gt;"",Localization_Raw!D9,"")</x:f>
      </x:c>
      <x:c r="E11" s="12" t="str">
        <x:f>IF(Localization_Raw!B9&lt;&gt;"",Localization_Raw!F9,"")</x:f>
      </x:c>
      <x:c r="F11" s="12" t="str">
        <x:f>IF(Localization_Raw!B9&lt;&gt;"",Localization_Raw!G9,"")</x:f>
      </x:c>
      <x:c r="G11" s="12" t="str">
        <x:f>IF(Localization_Raw!B9&lt;&gt;"",Localization_Raw!H9,"")</x:f>
      </x:c>
      <x:c r="H11" s="12" t="str">
        <x:f>IF(Localization_Raw!B9&lt;&gt;"",Localization_Raw!I9,"")</x:f>
      </x:c>
      <x:c r="I11" s="12" t="str">
        <x:f>IF(Localization_Raw!B9&lt;&gt;"",Localization_Raw!J9,"")</x:f>
      </x:c>
      <x:c r="J11" s="12" t="str">
        <x:f>IF(Localization_Raw!B9&lt;&gt;"",Localization_Raw!K9,"")</x:f>
      </x:c>
      <x:c r="K11" s="12" t="str">
        <x:f>IF(Localization_Raw!B9&lt;&gt;"",Localization_Raw!M9,"")</x:f>
      </x:c>
      <x:c r="L11" s="12" t="str">
        <x:f>IF(Localization_Raw!B9&lt;&gt;"",Localization_Raw!Q9,"")</x:f>
      </x:c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f>IF(Localization_Raw!B10&lt;&gt;"",9,"")</x:f>
      </x:c>
      <x:c r="B12" s="12" t="str">
        <x:f>IF(Localization_Raw!B10&lt;&gt;"",Localization_Raw!B10,"")</x:f>
      </x:c>
      <x:c r="C12" s="12" t="str">
        <x:f>IF(Localization_Raw!B10&lt;&gt;"",Localization_Raw!C10,"")</x:f>
      </x:c>
      <x:c r="D12" s="12" t="str">
        <x:f>IF(Localization_Raw!B10&lt;&gt;"",Localization_Raw!D10,"")</x:f>
      </x:c>
      <x:c r="E12" s="12" t="str">
        <x:f>IF(Localization_Raw!B10&lt;&gt;"",Localization_Raw!F10,"")</x:f>
      </x:c>
      <x:c r="F12" s="12" t="str">
        <x:f>IF(Localization_Raw!B10&lt;&gt;"",Localization_Raw!G10,"")</x:f>
      </x:c>
      <x:c r="G12" s="12" t="str">
        <x:f>IF(Localization_Raw!B10&lt;&gt;"",Localization_Raw!H10,"")</x:f>
      </x:c>
      <x:c r="H12" s="12" t="str">
        <x:f>IF(Localization_Raw!B10&lt;&gt;"",Localization_Raw!I10,"")</x:f>
      </x:c>
      <x:c r="I12" s="12" t="str">
        <x:f>IF(Localization_Raw!B10&lt;&gt;"",Localization_Raw!J10,"")</x:f>
      </x:c>
      <x:c r="J12" s="12" t="str">
        <x:f>IF(Localization_Raw!B10&lt;&gt;"",Localization_Raw!K10,"")</x:f>
      </x:c>
      <x:c r="K12" s="12" t="str">
        <x:f>IF(Localization_Raw!B10&lt;&gt;"",Localization_Raw!M10,"")</x:f>
      </x:c>
      <x:c r="L12" s="12" t="str">
        <x:f>IF(Localization_Raw!B10&lt;&gt;"",Localization_Raw!Q10,"")</x:f>
      </x:c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>
        <x:f>IF(Localization_Raw!B11&lt;&gt;"",10,"")</x:f>
      </x:c>
      <x:c r="B13" s="12" t="str">
        <x:f>IF(Localization_Raw!B11&lt;&gt;"",Localization_Raw!B11,"")</x:f>
      </x:c>
      <x:c r="C13" s="12" t="str">
        <x:f>IF(Localization_Raw!B11&lt;&gt;"",Localization_Raw!C11,"")</x:f>
      </x:c>
      <x:c r="D13" s="12" t="str">
        <x:f>IF(Localization_Raw!B11&lt;&gt;"",Localization_Raw!D11,"")</x:f>
      </x:c>
      <x:c r="E13" s="12" t="str">
        <x:f>IF(Localization_Raw!B11&lt;&gt;"",Localization_Raw!F11,"")</x:f>
      </x:c>
      <x:c r="F13" s="12" t="str">
        <x:f>IF(Localization_Raw!B11&lt;&gt;"",Localization_Raw!G11,"")</x:f>
      </x:c>
      <x:c r="G13" s="12" t="str">
        <x:f>IF(Localization_Raw!B11&lt;&gt;"",Localization_Raw!H11,"")</x:f>
      </x:c>
      <x:c r="H13" s="12" t="str">
        <x:f>IF(Localization_Raw!B11&lt;&gt;"",Localization_Raw!I11,"")</x:f>
      </x:c>
      <x:c r="I13" s="12" t="str">
        <x:f>IF(Localization_Raw!B11&lt;&gt;"",Localization_Raw!J11,"")</x:f>
      </x:c>
      <x:c r="J13" s="12" t="str">
        <x:f>IF(Localization_Raw!B11&lt;&gt;"",Localization_Raw!K11,"")</x:f>
      </x:c>
      <x:c r="K13" s="12" t="str">
        <x:f>IF(Localization_Raw!B11&lt;&gt;"",Localization_Raw!M11,"")</x:f>
      </x:c>
      <x:c r="L13" s="12" t="str">
        <x:f>IF(Localization_Raw!B11&lt;&gt;"",Localization_Raw!Q11,"")</x:f>
      </x:c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>
        <x:f>IF(Localization_Raw!B12&lt;&gt;"",11,"")</x:f>
      </x:c>
      <x:c r="B14" s="12" t="str">
        <x:f>IF(Localization_Raw!B12&lt;&gt;"",Localization_Raw!B12,"")</x:f>
      </x:c>
      <x:c r="C14" s="12" t="str">
        <x:f>IF(Localization_Raw!B12&lt;&gt;"",Localization_Raw!C12,"")</x:f>
      </x:c>
      <x:c r="D14" s="12" t="str">
        <x:f>IF(Localization_Raw!B12&lt;&gt;"",Localization_Raw!D12,"")</x:f>
      </x:c>
      <x:c r="E14" s="12" t="str">
        <x:f>IF(Localization_Raw!B12&lt;&gt;"",Localization_Raw!F12,"")</x:f>
      </x:c>
      <x:c r="F14" s="12" t="str">
        <x:f>IF(Localization_Raw!B12&lt;&gt;"",Localization_Raw!G12,"")</x:f>
      </x:c>
      <x:c r="G14" s="12" t="str">
        <x:f>IF(Localization_Raw!B12&lt;&gt;"",Localization_Raw!H12,"")</x:f>
      </x:c>
      <x:c r="H14" s="12" t="str">
        <x:f>IF(Localization_Raw!B12&lt;&gt;"",Localization_Raw!I12,"")</x:f>
      </x:c>
      <x:c r="I14" s="12" t="str">
        <x:f>IF(Localization_Raw!B12&lt;&gt;"",Localization_Raw!J12,"")</x:f>
      </x:c>
      <x:c r="J14" s="12" t="str">
        <x:f>IF(Localization_Raw!B12&lt;&gt;"",Localization_Raw!K12,"")</x:f>
      </x:c>
      <x:c r="K14" s="12" t="str">
        <x:f>IF(Localization_Raw!B12&lt;&gt;"",Localization_Raw!M12,"")</x:f>
      </x:c>
      <x:c r="L14" s="12" t="str">
        <x:f>IF(Localization_Raw!B12&lt;&gt;"",Localization_Raw!Q12,"")</x:f>
      </x:c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 t="str">
        <x:f>IF(Localization_Raw!B13&lt;&gt;"",12,"")</x:f>
      </x:c>
      <x:c r="B15" s="12" t="str">
        <x:f>IF(Localization_Raw!B13&lt;&gt;"",Localization_Raw!B13,"")</x:f>
      </x:c>
      <x:c r="C15" s="12" t="str">
        <x:f>IF(Localization_Raw!B13&lt;&gt;"",Localization_Raw!C13,"")</x:f>
      </x:c>
      <x:c r="D15" s="12" t="str">
        <x:f>IF(Localization_Raw!B13&lt;&gt;"",Localization_Raw!D13,"")</x:f>
      </x:c>
      <x:c r="E15" s="12" t="str">
        <x:f>IF(Localization_Raw!B13&lt;&gt;"",Localization_Raw!F13,"")</x:f>
      </x:c>
      <x:c r="F15" s="12" t="str">
        <x:f>IF(Localization_Raw!B13&lt;&gt;"",Localization_Raw!G13,"")</x:f>
      </x:c>
      <x:c r="G15" s="12" t="str">
        <x:f>IF(Localization_Raw!B13&lt;&gt;"",Localization_Raw!H13,"")</x:f>
      </x:c>
      <x:c r="H15" s="12" t="str">
        <x:f>IF(Localization_Raw!B13&lt;&gt;"",Localization_Raw!I13,"")</x:f>
      </x:c>
      <x:c r="I15" s="12" t="str">
        <x:f>IF(Localization_Raw!B13&lt;&gt;"",Localization_Raw!J13,"")</x:f>
      </x:c>
      <x:c r="J15" s="12" t="str">
        <x:f>IF(Localization_Raw!B13&lt;&gt;"",Localization_Raw!K13,"")</x:f>
      </x:c>
      <x:c r="K15" s="12" t="str">
        <x:f>IF(Localization_Raw!B13&lt;&gt;"",Localization_Raw!M13,"")</x:f>
      </x:c>
      <x:c r="L15" s="12" t="str">
        <x:f>IF(Localization_Raw!B13&lt;&gt;"",Localization_Raw!Q13,"")</x:f>
      </x:c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>
        <x:f>IF(Localization_Raw!B14&lt;&gt;"",13,"")</x:f>
      </x:c>
      <x:c r="B16" s="12" t="str">
        <x:f>IF(Localization_Raw!B14&lt;&gt;"",Localization_Raw!B14,"")</x:f>
      </x:c>
      <x:c r="C16" s="12" t="str">
        <x:f>IF(Localization_Raw!B14&lt;&gt;"",Localization_Raw!C14,"")</x:f>
      </x:c>
      <x:c r="D16" s="12" t="str">
        <x:f>IF(Localization_Raw!B14&lt;&gt;"",Localization_Raw!D14,"")</x:f>
      </x:c>
      <x:c r="E16" s="12" t="str">
        <x:f>IF(Localization_Raw!B14&lt;&gt;"",Localization_Raw!F14,"")</x:f>
      </x:c>
      <x:c r="F16" s="12" t="str">
        <x:f>IF(Localization_Raw!B14&lt;&gt;"",Localization_Raw!G14,"")</x:f>
      </x:c>
      <x:c r="G16" s="12" t="str">
        <x:f>IF(Localization_Raw!B14&lt;&gt;"",Localization_Raw!H14,"")</x:f>
      </x:c>
      <x:c r="H16" s="12" t="str">
        <x:f>IF(Localization_Raw!B14&lt;&gt;"",Localization_Raw!I14,"")</x:f>
      </x:c>
      <x:c r="I16" s="12" t="str">
        <x:f>IF(Localization_Raw!B14&lt;&gt;"",Localization_Raw!J14,"")</x:f>
      </x:c>
      <x:c r="J16" s="12" t="str">
        <x:f>IF(Localization_Raw!B14&lt;&gt;"",Localization_Raw!K14,"")</x:f>
      </x:c>
      <x:c r="K16" s="12" t="str">
        <x:f>IF(Localization_Raw!B14&lt;&gt;"",Localization_Raw!M14,"")</x:f>
      </x:c>
      <x:c r="L16" s="12" t="str">
        <x:f>IF(Localization_Raw!B14&lt;&gt;"",Localization_Raw!Q14,"")</x:f>
      </x:c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>
        <x:f>IF(Localization_Raw!B15&lt;&gt;"",14,"")</x:f>
      </x:c>
      <x:c r="B17" s="12" t="str">
        <x:f>IF(Localization_Raw!B15&lt;&gt;"",Localization_Raw!B15,"")</x:f>
      </x:c>
      <x:c r="C17" s="12" t="str">
        <x:f>IF(Localization_Raw!B15&lt;&gt;"",Localization_Raw!C15,"")</x:f>
      </x:c>
      <x:c r="D17" s="12" t="str">
        <x:f>IF(Localization_Raw!B15&lt;&gt;"",Localization_Raw!D15,"")</x:f>
      </x:c>
      <x:c r="E17" s="12" t="str">
        <x:f>IF(Localization_Raw!B15&lt;&gt;"",Localization_Raw!F15,"")</x:f>
      </x:c>
      <x:c r="F17" s="12" t="str">
        <x:f>IF(Localization_Raw!B15&lt;&gt;"",Localization_Raw!G15,"")</x:f>
      </x:c>
      <x:c r="G17" s="12" t="str">
        <x:f>IF(Localization_Raw!B15&lt;&gt;"",Localization_Raw!H15,"")</x:f>
      </x:c>
      <x:c r="H17" s="12" t="str">
        <x:f>IF(Localization_Raw!B15&lt;&gt;"",Localization_Raw!I15,"")</x:f>
      </x:c>
      <x:c r="I17" s="12" t="str">
        <x:f>IF(Localization_Raw!B15&lt;&gt;"",Localization_Raw!J15,"")</x:f>
      </x:c>
      <x:c r="J17" s="12" t="str">
        <x:f>IF(Localization_Raw!B15&lt;&gt;"",Localization_Raw!K15,"")</x:f>
      </x:c>
      <x:c r="K17" s="12" t="str">
        <x:f>IF(Localization_Raw!B15&lt;&gt;"",Localization_Raw!M15,"")</x:f>
      </x:c>
      <x:c r="L17" s="12" t="str">
        <x:f>IF(Localization_Raw!B15&lt;&gt;"",Localization_Raw!Q15,"")</x:f>
      </x:c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>
        <x:f>IF(Localization_Raw!B16&lt;&gt;"",15,"")</x:f>
      </x:c>
      <x:c r="B18" s="12" t="str">
        <x:f>IF(Localization_Raw!B16&lt;&gt;"",Localization_Raw!B16,"")</x:f>
      </x:c>
      <x:c r="C18" s="12" t="str">
        <x:f>IF(Localization_Raw!B16&lt;&gt;"",Localization_Raw!C16,"")</x:f>
      </x:c>
      <x:c r="D18" s="12" t="str">
        <x:f>IF(Localization_Raw!B16&lt;&gt;"",Localization_Raw!D16,"")</x:f>
      </x:c>
      <x:c r="E18" s="12" t="str">
        <x:f>IF(Localization_Raw!B16&lt;&gt;"",Localization_Raw!F16,"")</x:f>
      </x:c>
      <x:c r="F18" s="12" t="str">
        <x:f>IF(Localization_Raw!B16&lt;&gt;"",Localization_Raw!G16,"")</x:f>
      </x:c>
      <x:c r="G18" s="12" t="str">
        <x:f>IF(Localization_Raw!B16&lt;&gt;"",Localization_Raw!H16,"")</x:f>
      </x:c>
      <x:c r="H18" s="12" t="str">
        <x:f>IF(Localization_Raw!B16&lt;&gt;"",Localization_Raw!I16,"")</x:f>
      </x:c>
      <x:c r="I18" s="12" t="str">
        <x:f>IF(Localization_Raw!B16&lt;&gt;"",Localization_Raw!J16,"")</x:f>
      </x:c>
      <x:c r="J18" s="12" t="str">
        <x:f>IF(Localization_Raw!B16&lt;&gt;"",Localization_Raw!K16,"")</x:f>
      </x:c>
      <x:c r="K18" s="12" t="str">
        <x:f>IF(Localization_Raw!B16&lt;&gt;"",Localization_Raw!M16,"")</x:f>
      </x:c>
      <x:c r="L18" s="12" t="str">
        <x:f>IF(Localization_Raw!B16&lt;&gt;"",Localization_Raw!Q16,"")</x:f>
      </x:c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>
        <x:f>IF(Localization_Raw!B17&lt;&gt;"",16,"")</x:f>
      </x:c>
      <x:c r="B19" s="12" t="str">
        <x:f>IF(Localization_Raw!B17&lt;&gt;"",Localization_Raw!B17,"")</x:f>
      </x:c>
      <x:c r="C19" s="12" t="str">
        <x:f>IF(Localization_Raw!B17&lt;&gt;"",Localization_Raw!C17,"")</x:f>
      </x:c>
      <x:c r="D19" s="12" t="str">
        <x:f>IF(Localization_Raw!B17&lt;&gt;"",Localization_Raw!D17,"")</x:f>
      </x:c>
      <x:c r="E19" s="12" t="str">
        <x:f>IF(Localization_Raw!B17&lt;&gt;"",Localization_Raw!F17,"")</x:f>
      </x:c>
      <x:c r="F19" s="12" t="str">
        <x:f>IF(Localization_Raw!B17&lt;&gt;"",Localization_Raw!G17,"")</x:f>
      </x:c>
      <x:c r="G19" s="12" t="str">
        <x:f>IF(Localization_Raw!B17&lt;&gt;"",Localization_Raw!H17,"")</x:f>
      </x:c>
      <x:c r="H19" s="12" t="str">
        <x:f>IF(Localization_Raw!B17&lt;&gt;"",Localization_Raw!I17,"")</x:f>
      </x:c>
      <x:c r="I19" s="12" t="str">
        <x:f>IF(Localization_Raw!B17&lt;&gt;"",Localization_Raw!J17,"")</x:f>
      </x:c>
      <x:c r="J19" s="12" t="str">
        <x:f>IF(Localization_Raw!B17&lt;&gt;"",Localization_Raw!K17,"")</x:f>
      </x:c>
      <x:c r="K19" s="12" t="str">
        <x:f>IF(Localization_Raw!B17&lt;&gt;"",Localization_Raw!M17,"")</x:f>
      </x:c>
      <x:c r="L19" s="12" t="str">
        <x:f>IF(Localization_Raw!B17&lt;&gt;"",Localization_Raw!Q17,"")</x:f>
      </x:c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>
        <x:f>IF(Localization_Raw!B18&lt;&gt;"",17,"")</x:f>
      </x:c>
      <x:c r="B20" s="12" t="str">
        <x:f>IF(Localization_Raw!B18&lt;&gt;"",Localization_Raw!B18,"")</x:f>
      </x:c>
      <x:c r="C20" s="12" t="str">
        <x:f>IF(Localization_Raw!B18&lt;&gt;"",Localization_Raw!C18,"")</x:f>
      </x:c>
      <x:c r="D20" s="12" t="str">
        <x:f>IF(Localization_Raw!B18&lt;&gt;"",Localization_Raw!D18,"")</x:f>
      </x:c>
      <x:c r="E20" s="12" t="str">
        <x:f>IF(Localization_Raw!B18&lt;&gt;"",Localization_Raw!F18,"")</x:f>
      </x:c>
      <x:c r="F20" s="12" t="str">
        <x:f>IF(Localization_Raw!B18&lt;&gt;"",Localization_Raw!G18,"")</x:f>
      </x:c>
      <x:c r="G20" s="12" t="str">
        <x:f>IF(Localization_Raw!B18&lt;&gt;"",Localization_Raw!H18,"")</x:f>
      </x:c>
      <x:c r="H20" s="12" t="str">
        <x:f>IF(Localization_Raw!B18&lt;&gt;"",Localization_Raw!I18,"")</x:f>
      </x:c>
      <x:c r="I20" s="12" t="str">
        <x:f>IF(Localization_Raw!B18&lt;&gt;"",Localization_Raw!J18,"")</x:f>
      </x:c>
      <x:c r="J20" s="12" t="str">
        <x:f>IF(Localization_Raw!B18&lt;&gt;"",Localization_Raw!K18,"")</x:f>
      </x:c>
      <x:c r="K20" s="12" t="str">
        <x:f>IF(Localization_Raw!B18&lt;&gt;"",Localization_Raw!M18,"")</x:f>
      </x:c>
      <x:c r="L20" s="12" t="str">
        <x:f>IF(Localization_Raw!B18&lt;&gt;"",Localization_Raw!Q18,"")</x:f>
      </x:c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 t="str">
        <x:f>IF(Localization_Raw!B19&lt;&gt;"",18,"")</x:f>
      </x:c>
      <x:c r="B21" s="12" t="str">
        <x:f>IF(Localization_Raw!B19&lt;&gt;"",Localization_Raw!B19,"")</x:f>
      </x:c>
      <x:c r="C21" s="12" t="str">
        <x:f>IF(Localization_Raw!B19&lt;&gt;"",Localization_Raw!C19,"")</x:f>
      </x:c>
      <x:c r="D21" s="12" t="str">
        <x:f>IF(Localization_Raw!B19&lt;&gt;"",Localization_Raw!D19,"")</x:f>
      </x:c>
      <x:c r="E21" s="12" t="str">
        <x:f>IF(Localization_Raw!B19&lt;&gt;"",Localization_Raw!F19,"")</x:f>
      </x:c>
      <x:c r="F21" s="12" t="str">
        <x:f>IF(Localization_Raw!B19&lt;&gt;"",Localization_Raw!G19,"")</x:f>
      </x:c>
      <x:c r="G21" s="12" t="str">
        <x:f>IF(Localization_Raw!B19&lt;&gt;"",Localization_Raw!H19,"")</x:f>
      </x:c>
      <x:c r="H21" s="12" t="str">
        <x:f>IF(Localization_Raw!B19&lt;&gt;"",Localization_Raw!I19,"")</x:f>
      </x:c>
      <x:c r="I21" s="12" t="str">
        <x:f>IF(Localization_Raw!B19&lt;&gt;"",Localization_Raw!J19,"")</x:f>
      </x:c>
      <x:c r="J21" s="12" t="str">
        <x:f>IF(Localization_Raw!B19&lt;&gt;"",Localization_Raw!K19,"")</x:f>
      </x:c>
      <x:c r="K21" s="12" t="str">
        <x:f>IF(Localization_Raw!B19&lt;&gt;"",Localization_Raw!M19,"")</x:f>
      </x:c>
      <x:c r="L21" s="12" t="str">
        <x:f>IF(Localization_Raw!B19&lt;&gt;"",Localization_Raw!Q19,"")</x:f>
      </x:c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 t="str">
        <x:f>IF(Localization_Raw!B20&lt;&gt;"",19,"")</x:f>
      </x:c>
      <x:c r="B22" s="12" t="str">
        <x:f>IF(Localization_Raw!B20&lt;&gt;"",Localization_Raw!B20,"")</x:f>
      </x:c>
      <x:c r="C22" s="12" t="str">
        <x:f>IF(Localization_Raw!B20&lt;&gt;"",Localization_Raw!C20,"")</x:f>
      </x:c>
      <x:c r="D22" s="12" t="str">
        <x:f>IF(Localization_Raw!B20&lt;&gt;"",Localization_Raw!D20,"")</x:f>
      </x:c>
      <x:c r="E22" s="12" t="str">
        <x:f>IF(Localization_Raw!B20&lt;&gt;"",Localization_Raw!F20,"")</x:f>
      </x:c>
      <x:c r="F22" s="12" t="str">
        <x:f>IF(Localization_Raw!B20&lt;&gt;"",Localization_Raw!G20,"")</x:f>
      </x:c>
      <x:c r="G22" s="12" t="str">
        <x:f>IF(Localization_Raw!B20&lt;&gt;"",Localization_Raw!H20,"")</x:f>
      </x:c>
      <x:c r="H22" s="12" t="str">
        <x:f>IF(Localization_Raw!B20&lt;&gt;"",Localization_Raw!I20,"")</x:f>
      </x:c>
      <x:c r="I22" s="12" t="str">
        <x:f>IF(Localization_Raw!B20&lt;&gt;"",Localization_Raw!J20,"")</x:f>
      </x:c>
      <x:c r="J22" s="12" t="str">
        <x:f>IF(Localization_Raw!B20&lt;&gt;"",Localization_Raw!K20,"")</x:f>
      </x:c>
      <x:c r="K22" s="12" t="str">
        <x:f>IF(Localization_Raw!B20&lt;&gt;"",Localization_Raw!M20,"")</x:f>
      </x:c>
      <x:c r="L22" s="12" t="str">
        <x:f>IF(Localization_Raw!B20&lt;&gt;"",Localization_Raw!Q20,"")</x:f>
      </x:c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 t="str">
        <x:f>IF(Localization_Raw!B21&lt;&gt;"",20,"")</x:f>
      </x:c>
      <x:c r="B23" s="12" t="str">
        <x:f>IF(Localization_Raw!B21&lt;&gt;"",Localization_Raw!B21,"")</x:f>
      </x:c>
      <x:c r="C23" s="12" t="str">
        <x:f>IF(Localization_Raw!B21&lt;&gt;"",Localization_Raw!C21,"")</x:f>
      </x:c>
      <x:c r="D23" s="12" t="str">
        <x:f>IF(Localization_Raw!B21&lt;&gt;"",Localization_Raw!D21,"")</x:f>
      </x:c>
      <x:c r="E23" s="12" t="str">
        <x:f>IF(Localization_Raw!B21&lt;&gt;"",Localization_Raw!F21,"")</x:f>
      </x:c>
      <x:c r="F23" s="12" t="str">
        <x:f>IF(Localization_Raw!B21&lt;&gt;"",Localization_Raw!G21,"")</x:f>
      </x:c>
      <x:c r="G23" s="12" t="str">
        <x:f>IF(Localization_Raw!B21&lt;&gt;"",Localization_Raw!H21,"")</x:f>
      </x:c>
      <x:c r="H23" s="12" t="str">
        <x:f>IF(Localization_Raw!B21&lt;&gt;"",Localization_Raw!I21,"")</x:f>
      </x:c>
      <x:c r="I23" s="12" t="str">
        <x:f>IF(Localization_Raw!B21&lt;&gt;"",Localization_Raw!J21,"")</x:f>
      </x:c>
      <x:c r="J23" s="12" t="str">
        <x:f>IF(Localization_Raw!B21&lt;&gt;"",Localization_Raw!K21,"")</x:f>
      </x:c>
      <x:c r="K23" s="12" t="str">
        <x:f>IF(Localization_Raw!B21&lt;&gt;"",Localization_Raw!M21,"")</x:f>
      </x:c>
      <x:c r="L23" s="12" t="str">
        <x:f>IF(Localization_Raw!B21&lt;&gt;"",Localization_Raw!Q21,"")</x:f>
      </x:c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 t="str">
        <x:f>IF(Localization_Raw!B22&lt;&gt;"",21,"")</x:f>
      </x:c>
      <x:c r="B24" s="12" t="str">
        <x:f>IF(Localization_Raw!B22&lt;&gt;"",Localization_Raw!B22,"")</x:f>
      </x:c>
      <x:c r="C24" s="12" t="str">
        <x:f>IF(Localization_Raw!B22&lt;&gt;"",Localization_Raw!C22,"")</x:f>
      </x:c>
      <x:c r="D24" s="12" t="str">
        <x:f>IF(Localization_Raw!B22&lt;&gt;"",Localization_Raw!D22,"")</x:f>
      </x:c>
      <x:c r="E24" s="12" t="str">
        <x:f>IF(Localization_Raw!B22&lt;&gt;"",Localization_Raw!F22,"")</x:f>
      </x:c>
      <x:c r="F24" s="12" t="str">
        <x:f>IF(Localization_Raw!B22&lt;&gt;"",Localization_Raw!G22,"")</x:f>
      </x:c>
      <x:c r="G24" s="12" t="str">
        <x:f>IF(Localization_Raw!B22&lt;&gt;"",Localization_Raw!H22,"")</x:f>
      </x:c>
      <x:c r="H24" s="12" t="str">
        <x:f>IF(Localization_Raw!B22&lt;&gt;"",Localization_Raw!I22,"")</x:f>
      </x:c>
      <x:c r="I24" s="12" t="str">
        <x:f>IF(Localization_Raw!B22&lt;&gt;"",Localization_Raw!J22,"")</x:f>
      </x:c>
      <x:c r="J24" s="12" t="str">
        <x:f>IF(Localization_Raw!B22&lt;&gt;"",Localization_Raw!K22,"")</x:f>
      </x:c>
      <x:c r="K24" s="12" t="str">
        <x:f>IF(Localization_Raw!B22&lt;&gt;"",Localization_Raw!M22,"")</x:f>
      </x:c>
      <x:c r="L24" s="12" t="str">
        <x:f>IF(Localization_Raw!B22&lt;&gt;"",Localization_Raw!Q22,"")</x:f>
      </x:c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 t="str">
        <x:f>IF(Localization_Raw!B23&lt;&gt;"",22,"")</x:f>
      </x:c>
      <x:c r="B25" s="12" t="str">
        <x:f>IF(Localization_Raw!B23&lt;&gt;"",Localization_Raw!B23,"")</x:f>
      </x:c>
      <x:c r="C25" s="12" t="str">
        <x:f>IF(Localization_Raw!B23&lt;&gt;"",Localization_Raw!C23,"")</x:f>
      </x:c>
      <x:c r="D25" s="12" t="str">
        <x:f>IF(Localization_Raw!B23&lt;&gt;"",Localization_Raw!D23,"")</x:f>
      </x:c>
      <x:c r="E25" s="12" t="str">
        <x:f>IF(Localization_Raw!B23&lt;&gt;"",Localization_Raw!F23,"")</x:f>
      </x:c>
      <x:c r="F25" s="12" t="str">
        <x:f>IF(Localization_Raw!B23&lt;&gt;"",Localization_Raw!G23,"")</x:f>
      </x:c>
      <x:c r="G25" s="12" t="str">
        <x:f>IF(Localization_Raw!B23&lt;&gt;"",Localization_Raw!H23,"")</x:f>
      </x:c>
      <x:c r="H25" s="12" t="str">
        <x:f>IF(Localization_Raw!B23&lt;&gt;"",Localization_Raw!I23,"")</x:f>
      </x:c>
      <x:c r="I25" s="12" t="str">
        <x:f>IF(Localization_Raw!B23&lt;&gt;"",Localization_Raw!J23,"")</x:f>
      </x:c>
      <x:c r="J25" s="12" t="str">
        <x:f>IF(Localization_Raw!B23&lt;&gt;"",Localization_Raw!K23,"")</x:f>
      </x:c>
      <x:c r="K25" s="12" t="str">
        <x:f>IF(Localization_Raw!B23&lt;&gt;"",Localization_Raw!M23,"")</x:f>
      </x:c>
      <x:c r="L25" s="12" t="str">
        <x:f>IF(Localization_Raw!B23&lt;&gt;"",Localization_Raw!Q23,"")</x:f>
      </x:c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 t="str">
        <x:f>IF(Localization_Raw!B24&lt;&gt;"",23,"")</x:f>
      </x:c>
      <x:c r="B26" s="12" t="str">
        <x:f>IF(Localization_Raw!B24&lt;&gt;"",Localization_Raw!B24,"")</x:f>
      </x:c>
      <x:c r="C26" s="12" t="str">
        <x:f>IF(Localization_Raw!B24&lt;&gt;"",Localization_Raw!C24,"")</x:f>
      </x:c>
      <x:c r="D26" s="12" t="str">
        <x:f>IF(Localization_Raw!B24&lt;&gt;"",Localization_Raw!D24,"")</x:f>
      </x:c>
      <x:c r="E26" s="12" t="str">
        <x:f>IF(Localization_Raw!B24&lt;&gt;"",Localization_Raw!F24,"")</x:f>
      </x:c>
      <x:c r="F26" s="12" t="str">
        <x:f>IF(Localization_Raw!B24&lt;&gt;"",Localization_Raw!G24,"")</x:f>
      </x:c>
      <x:c r="G26" s="12" t="str">
        <x:f>IF(Localization_Raw!B24&lt;&gt;"",Localization_Raw!H24,"")</x:f>
      </x:c>
      <x:c r="H26" s="12" t="str">
        <x:f>IF(Localization_Raw!B24&lt;&gt;"",Localization_Raw!I24,"")</x:f>
      </x:c>
      <x:c r="I26" s="12" t="str">
        <x:f>IF(Localization_Raw!B24&lt;&gt;"",Localization_Raw!J24,"")</x:f>
      </x:c>
      <x:c r="J26" s="12" t="str">
        <x:f>IF(Localization_Raw!B24&lt;&gt;"",Localization_Raw!K24,"")</x:f>
      </x:c>
      <x:c r="K26" s="12" t="str">
        <x:f>IF(Localization_Raw!B24&lt;&gt;"",Localization_Raw!M24,"")</x:f>
      </x:c>
      <x:c r="L26" s="12" t="str">
        <x:f>IF(Localization_Raw!B24&lt;&gt;"",Localization_Raw!Q24,"")</x:f>
      </x:c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 t="str">
        <x:f>IF(Localization_Raw!B25&lt;&gt;"",24,"")</x:f>
      </x:c>
      <x:c r="B27" s="12" t="str">
        <x:f>IF(Localization_Raw!B25&lt;&gt;"",Localization_Raw!B25,"")</x:f>
      </x:c>
      <x:c r="C27" s="12" t="str">
        <x:f>IF(Localization_Raw!B25&lt;&gt;"",Localization_Raw!C25,"")</x:f>
      </x:c>
      <x:c r="D27" s="12" t="str">
        <x:f>IF(Localization_Raw!B25&lt;&gt;"",Localization_Raw!D25,"")</x:f>
      </x:c>
      <x:c r="E27" s="12" t="str">
        <x:f>IF(Localization_Raw!B25&lt;&gt;"",Localization_Raw!F25,"")</x:f>
      </x:c>
      <x:c r="F27" s="12" t="str">
        <x:f>IF(Localization_Raw!B25&lt;&gt;"",Localization_Raw!G25,"")</x:f>
      </x:c>
      <x:c r="G27" s="12" t="str">
        <x:f>IF(Localization_Raw!B25&lt;&gt;"",Localization_Raw!H25,"")</x:f>
      </x:c>
      <x:c r="H27" s="12" t="str">
        <x:f>IF(Localization_Raw!B25&lt;&gt;"",Localization_Raw!I25,"")</x:f>
      </x:c>
      <x:c r="I27" s="12" t="str">
        <x:f>IF(Localization_Raw!B25&lt;&gt;"",Localization_Raw!J25,"")</x:f>
      </x:c>
      <x:c r="J27" s="12" t="str">
        <x:f>IF(Localization_Raw!B25&lt;&gt;"",Localization_Raw!K25,"")</x:f>
      </x:c>
      <x:c r="K27" s="12" t="str">
        <x:f>IF(Localization_Raw!B25&lt;&gt;"",Localization_Raw!M25,"")</x:f>
      </x:c>
      <x:c r="L27" s="12" t="str">
        <x:f>IF(Localization_Raw!B25&lt;&gt;"",Localization_Raw!Q25,"")</x:f>
      </x:c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 t="str">
        <x:f>IF(Localization_Raw!B26&lt;&gt;"",25,"")</x:f>
      </x:c>
      <x:c r="B28" s="12" t="str">
        <x:f>IF(Localization_Raw!B26&lt;&gt;"",Localization_Raw!B26,"")</x:f>
      </x:c>
      <x:c r="C28" s="12" t="str">
        <x:f>IF(Localization_Raw!B26&lt;&gt;"",Localization_Raw!C26,"")</x:f>
      </x:c>
      <x:c r="D28" s="12" t="str">
        <x:f>IF(Localization_Raw!B26&lt;&gt;"",Localization_Raw!D26,"")</x:f>
      </x:c>
      <x:c r="E28" s="12" t="str">
        <x:f>IF(Localization_Raw!B26&lt;&gt;"",Localization_Raw!F26,"")</x:f>
      </x:c>
      <x:c r="F28" s="12" t="str">
        <x:f>IF(Localization_Raw!B26&lt;&gt;"",Localization_Raw!G26,"")</x:f>
      </x:c>
      <x:c r="G28" s="12" t="str">
        <x:f>IF(Localization_Raw!B26&lt;&gt;"",Localization_Raw!H26,"")</x:f>
      </x:c>
      <x:c r="H28" s="12" t="str">
        <x:f>IF(Localization_Raw!B26&lt;&gt;"",Localization_Raw!I26,"")</x:f>
      </x:c>
      <x:c r="I28" s="12" t="str">
        <x:f>IF(Localization_Raw!B26&lt;&gt;"",Localization_Raw!J26,"")</x:f>
      </x:c>
      <x:c r="J28" s="12" t="str">
        <x:f>IF(Localization_Raw!B26&lt;&gt;"",Localization_Raw!K26,"")</x:f>
      </x:c>
      <x:c r="K28" s="12" t="str">
        <x:f>IF(Localization_Raw!B26&lt;&gt;"",Localization_Raw!M26,"")</x:f>
      </x:c>
      <x:c r="L28" s="12" t="str">
        <x:f>IF(Localization_Raw!B26&lt;&gt;"",Localization_Raw!Q26,"")</x:f>
      </x:c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 t="str">
        <x:f>IF(Localization_Raw!B27&lt;&gt;"",26,"")</x:f>
      </x:c>
      <x:c r="B29" s="12" t="str">
        <x:f>IF(Localization_Raw!B27&lt;&gt;"",Localization_Raw!B27,"")</x:f>
      </x:c>
      <x:c r="C29" s="12" t="str">
        <x:f>IF(Localization_Raw!B27&lt;&gt;"",Localization_Raw!C27,"")</x:f>
      </x:c>
      <x:c r="D29" s="12" t="str">
        <x:f>IF(Localization_Raw!B27&lt;&gt;"",Localization_Raw!D27,"")</x:f>
      </x:c>
      <x:c r="E29" s="12" t="str">
        <x:f>IF(Localization_Raw!B27&lt;&gt;"",Localization_Raw!F27,"")</x:f>
      </x:c>
      <x:c r="F29" s="12" t="str">
        <x:f>IF(Localization_Raw!B27&lt;&gt;"",Localization_Raw!G27,"")</x:f>
      </x:c>
      <x:c r="G29" s="12" t="str">
        <x:f>IF(Localization_Raw!B27&lt;&gt;"",Localization_Raw!H27,"")</x:f>
      </x:c>
      <x:c r="H29" s="12" t="str">
        <x:f>IF(Localization_Raw!B27&lt;&gt;"",Localization_Raw!I27,"")</x:f>
      </x:c>
      <x:c r="I29" s="12" t="str">
        <x:f>IF(Localization_Raw!B27&lt;&gt;"",Localization_Raw!J27,"")</x:f>
      </x:c>
      <x:c r="J29" s="12" t="str">
        <x:f>IF(Localization_Raw!B27&lt;&gt;"",Localization_Raw!K27,"")</x:f>
      </x:c>
      <x:c r="K29" s="12" t="str">
        <x:f>IF(Localization_Raw!B27&lt;&gt;"",Localization_Raw!M27,"")</x:f>
      </x:c>
      <x:c r="L29" s="12" t="str">
        <x:f>IF(Localization_Raw!B27&lt;&gt;"",Localization_Raw!Q27,"")</x:f>
      </x:c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 t="str">
        <x:f>IF(Localization_Raw!B28&lt;&gt;"",27,"")</x:f>
      </x:c>
      <x:c r="B30" s="12" t="str">
        <x:f>IF(Localization_Raw!B28&lt;&gt;"",Localization_Raw!B28,"")</x:f>
      </x:c>
      <x:c r="C30" s="12" t="str">
        <x:f>IF(Localization_Raw!B28&lt;&gt;"",Localization_Raw!C28,"")</x:f>
      </x:c>
      <x:c r="D30" s="12" t="str">
        <x:f>IF(Localization_Raw!B28&lt;&gt;"",Localization_Raw!D28,"")</x:f>
      </x:c>
      <x:c r="E30" s="12" t="str">
        <x:f>IF(Localization_Raw!B28&lt;&gt;"",Localization_Raw!F28,"")</x:f>
      </x:c>
      <x:c r="F30" s="12" t="str">
        <x:f>IF(Localization_Raw!B28&lt;&gt;"",Localization_Raw!G28,"")</x:f>
      </x:c>
      <x:c r="G30" s="12" t="str">
        <x:f>IF(Localization_Raw!B28&lt;&gt;"",Localization_Raw!H28,"")</x:f>
      </x:c>
      <x:c r="H30" s="12" t="str">
        <x:f>IF(Localization_Raw!B28&lt;&gt;"",Localization_Raw!I28,"")</x:f>
      </x:c>
      <x:c r="I30" s="12" t="str">
        <x:f>IF(Localization_Raw!B28&lt;&gt;"",Localization_Raw!J28,"")</x:f>
      </x:c>
      <x:c r="J30" s="12" t="str">
        <x:f>IF(Localization_Raw!B28&lt;&gt;"",Localization_Raw!K28,"")</x:f>
      </x:c>
      <x:c r="K30" s="12" t="str">
        <x:f>IF(Localization_Raw!B28&lt;&gt;"",Localization_Raw!M28,"")</x:f>
      </x:c>
      <x:c r="L30" s="12" t="str">
        <x:f>IF(Localization_Raw!B28&lt;&gt;"",Localization_Raw!Q28,"")</x:f>
      </x:c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 t="str">
        <x:f>IF(Localization_Raw!B29&lt;&gt;"",28,"")</x:f>
      </x:c>
      <x:c r="B31" s="12" t="str">
        <x:f>IF(Localization_Raw!B29&lt;&gt;"",Localization_Raw!B29,"")</x:f>
      </x:c>
      <x:c r="C31" s="12" t="str">
        <x:f>IF(Localization_Raw!B29&lt;&gt;"",Localization_Raw!C29,"")</x:f>
      </x:c>
      <x:c r="D31" s="12" t="str">
        <x:f>IF(Localization_Raw!B29&lt;&gt;"",Localization_Raw!D29,"")</x:f>
      </x:c>
      <x:c r="E31" s="12" t="str">
        <x:f>IF(Localization_Raw!B29&lt;&gt;"",Localization_Raw!F29,"")</x:f>
      </x:c>
      <x:c r="F31" s="12" t="str">
        <x:f>IF(Localization_Raw!B29&lt;&gt;"",Localization_Raw!G29,"")</x:f>
      </x:c>
      <x:c r="G31" s="12" t="str">
        <x:f>IF(Localization_Raw!B29&lt;&gt;"",Localization_Raw!H29,"")</x:f>
      </x:c>
      <x:c r="H31" s="12" t="str">
        <x:f>IF(Localization_Raw!B29&lt;&gt;"",Localization_Raw!I29,"")</x:f>
      </x:c>
      <x:c r="I31" s="12" t="str">
        <x:f>IF(Localization_Raw!B29&lt;&gt;"",Localization_Raw!J29,"")</x:f>
      </x:c>
      <x:c r="J31" s="12" t="str">
        <x:f>IF(Localization_Raw!B29&lt;&gt;"",Localization_Raw!K29,"")</x:f>
      </x:c>
      <x:c r="K31" s="12" t="str">
        <x:f>IF(Localization_Raw!B29&lt;&gt;"",Localization_Raw!M29,"")</x:f>
      </x:c>
      <x:c r="L31" s="12" t="str">
        <x:f>IF(Localization_Raw!B29&lt;&gt;"",Localization_Raw!Q29,"")</x:f>
      </x:c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 t="str">
        <x:f>IF(Localization_Raw!B30&lt;&gt;"",29,"")</x:f>
      </x:c>
      <x:c r="B32" s="12" t="str">
        <x:f>IF(Localization_Raw!B30&lt;&gt;"",Localization_Raw!B30,"")</x:f>
      </x:c>
      <x:c r="C32" s="12" t="str">
        <x:f>IF(Localization_Raw!B30&lt;&gt;"",Localization_Raw!C30,"")</x:f>
      </x:c>
      <x:c r="D32" s="12" t="str">
        <x:f>IF(Localization_Raw!B30&lt;&gt;"",Localization_Raw!D30,"")</x:f>
      </x:c>
      <x:c r="E32" s="12" t="str">
        <x:f>IF(Localization_Raw!B30&lt;&gt;"",Localization_Raw!F30,"")</x:f>
      </x:c>
      <x:c r="F32" s="12" t="str">
        <x:f>IF(Localization_Raw!B30&lt;&gt;"",Localization_Raw!G30,"")</x:f>
      </x:c>
      <x:c r="G32" s="12" t="str">
        <x:f>IF(Localization_Raw!B30&lt;&gt;"",Localization_Raw!H30,"")</x:f>
      </x:c>
      <x:c r="H32" s="12" t="str">
        <x:f>IF(Localization_Raw!B30&lt;&gt;"",Localization_Raw!I30,"")</x:f>
      </x:c>
      <x:c r="I32" s="12" t="str">
        <x:f>IF(Localization_Raw!B30&lt;&gt;"",Localization_Raw!J30,"")</x:f>
      </x:c>
      <x:c r="J32" s="12" t="str">
        <x:f>IF(Localization_Raw!B30&lt;&gt;"",Localization_Raw!K30,"")</x:f>
      </x:c>
      <x:c r="K32" s="12" t="str">
        <x:f>IF(Localization_Raw!B30&lt;&gt;"",Localization_Raw!M30,"")</x:f>
      </x:c>
      <x:c r="L32" s="12" t="str">
        <x:f>IF(Localization_Raw!B30&lt;&gt;"",Localization_Raw!Q30,"")</x:f>
      </x:c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 t="str">
        <x:f>IF(Localization_Raw!B31&lt;&gt;"",30,"")</x:f>
      </x:c>
      <x:c r="B33" s="12" t="str">
        <x:f>IF(Localization_Raw!B31&lt;&gt;"",Localization_Raw!B31,"")</x:f>
      </x:c>
      <x:c r="C33" s="12" t="str">
        <x:f>IF(Localization_Raw!B31&lt;&gt;"",Localization_Raw!C31,"")</x:f>
      </x:c>
      <x:c r="D33" s="12" t="str">
        <x:f>IF(Localization_Raw!B31&lt;&gt;"",Localization_Raw!D31,"")</x:f>
      </x:c>
      <x:c r="E33" s="12" t="str">
        <x:f>IF(Localization_Raw!B31&lt;&gt;"",Localization_Raw!F31,"")</x:f>
      </x:c>
      <x:c r="F33" s="12" t="str">
        <x:f>IF(Localization_Raw!B31&lt;&gt;"",Localization_Raw!G31,"")</x:f>
      </x:c>
      <x:c r="G33" s="12" t="str">
        <x:f>IF(Localization_Raw!B31&lt;&gt;"",Localization_Raw!H31,"")</x:f>
      </x:c>
      <x:c r="H33" s="12" t="str">
        <x:f>IF(Localization_Raw!B31&lt;&gt;"",Localization_Raw!I31,"")</x:f>
      </x:c>
      <x:c r="I33" s="12" t="str">
        <x:f>IF(Localization_Raw!B31&lt;&gt;"",Localization_Raw!J31,"")</x:f>
      </x:c>
      <x:c r="J33" s="12" t="str">
        <x:f>IF(Localization_Raw!B31&lt;&gt;"",Localization_Raw!K31,"")</x:f>
      </x:c>
      <x:c r="K33" s="12" t="str">
        <x:f>IF(Localization_Raw!B31&lt;&gt;"",Localization_Raw!M31,"")</x:f>
      </x:c>
      <x:c r="L33" s="12" t="str">
        <x:f>IF(Localization_Raw!B31&lt;&gt;"",Localization_Raw!Q31,"")</x:f>
      </x:c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26" t="str">
        <x:v>Ringkasan</x:v>
      </x:c>
      <x:c r="B36" s="26" t="str">
        <x:v>Nilai</x:v>
      </x:c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 t="str">
        <x:v>Jumlah Trial</x:v>
      </x:c>
      <x:c r="B37" s="12" t="n">
        <x:f>COUNT(Localization_Raw!B2:B31)</x:f>
        <x:v>0</x:v>
      </x:c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 t="str">
        <x:v>Total Pose Message</x:v>
      </x:c>
      <x:c r="B38" s="12" t="n">
        <x:f>SUM(Localization_Raw!G2:G31)</x:f>
        <x:v>0</x:v>
      </x:c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 t="str">
        <x:v>Rata-rata Rate (Hz)</x:v>
      </x:c>
      <x:c r="B39" s="12" t="n">
        <x:f>IFERROR(AVERAGE(Localization_Raw!H2:H31),0)</x:f>
        <x:v>0</x:v>
      </x:c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 t="str">
        <x:v>Trial dengan Pose Diterima</x:v>
      </x:c>
      <x:c r="B40" s="12" t="n">
        <x:f>COUNTIF(Localization_Raw!I2:I31,"LOCK/POSE_RECEIVED")</x:f>
        <x:v>0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bcb20b64ae4142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130000114440918" hidden="0" customWidth="1"/>
    <x:col min="3" max="3" width="11.25" hidden="0" customWidth="1"/>
    <x:col min="4" max="4" width="10.880000114440918" hidden="0" customWidth="1"/>
    <x:col min="5" max="5" width="11.25" hidden="0" customWidth="1"/>
    <x:col min="6" max="6" width="11.130000114440918" hidden="0" customWidth="1"/>
    <x:col min="7" max="7" width="19.5" hidden="0" customWidth="1"/>
    <x:col min="8" max="8" width="19.25" hidden="0" customWidth="1"/>
    <x:col min="9" max="9" width="19.8799991607666" hidden="0" customWidth="1"/>
    <x:col min="10" max="10" width="11" hidden="0" customWidth="1"/>
    <x:col min="11" max="11" width="19" hidden="0" customWidth="1"/>
    <x:col min="12" max="12" width="18.6299991607666" hidden="0" customWidth="1"/>
    <x:col min="13" max="13" width="14.880000114440918" hidden="0" customWidth="1"/>
    <x:col min="14" max="14" width="20.25" hidden="0" customWidth="1"/>
    <x:col min="15" max="15" width="20.8799991607666" hidden="0" customWidth="1"/>
    <x:col min="16" max="16" width="20.75" hidden="0" customWidth="1"/>
    <x:col min="17" max="17" width="21.3799991607666" hidden="0" customWidth="1"/>
    <x:col min="18" max="18" width="21" hidden="0" customWidth="1"/>
    <x:col min="19" max="19" width="20" hidden="0" customWidth="1"/>
    <x:col min="20" max="20" width="13.380000114440918" hidden="0" customWidth="1"/>
    <x:col min="21" max="21" width="7.630000114440918" hidden="0" customWidth="1"/>
    <x:col min="22" max="22" width="7.25" hidden="0" customWidth="1"/>
  </x:cols>
  <x:sheetData>
    <x:row r="1">
      <x:c r="A1" s="26" t="str">
        <x:v>timestamp</x:v>
      </x:c>
      <x:c r="B1" s="26" t="str">
        <x:v>trial</x:v>
      </x:c>
      <x:c r="C1" s="26" t="str">
        <x:v>start_label</x:v>
      </x:c>
      <x:c r="D1" s="26" t="str">
        <x:v>goal_label</x:v>
      </x:c>
      <x:c r="E1" s="26" t="str">
        <x:v>duration_s</x:v>
      </x:c>
      <x:c r="F1" s="26" t="str">
        <x:v>plan_topic</x:v>
      </x:c>
      <x:c r="G1" s="26" t="str">
        <x:v>global_path_received</x:v>
      </x:c>
      <x:c r="H1" s="26" t="str">
        <x:v>path_message_count</x:v>
      </x:c>
      <x:c r="I1" s="26" t="str">
        <x:v>last_path_pose_count</x:v>
      </x:c>
      <x:c r="J1" s="26" t="str">
        <x:v>cmd_topic</x:v>
      </x:c>
      <x:c r="K1" s="26" t="str">
        <x:v>cmd_message_count</x:v>
      </x:c>
      <x:c r="L1" s="26" t="str">
        <x:v>nonzero_cmd_count</x:v>
      </x:c>
      <x:c r="M1" s="26" t="str">
        <x:v>cmd_vel_active</x:v>
      </x:c>
      <x:c r="N1" s="26" t="str">
        <x:v>avg_linear_x_abs_mps</x:v>
      </x:c>
      <x:c r="O1" s="26" t="str">
        <x:v>max_linear_x_abs_mps</x:v>
      </x:c>
      <x:c r="P1" s="26" t="str">
        <x:v>avg_angular_z_abs_rps</x:v>
      </x:c>
      <x:c r="Q1" s="26" t="str">
        <x:v>max_angular_z_abs_rps</x:v>
      </x:c>
      <x:c r="R1" s="26" t="str">
        <x:v>odom_displacement_m</x:v>
      </x:c>
      <x:c r="S1" s="26" t="str">
        <x:v>odom_path_length_m</x:v>
      </x:c>
      <x:c r="T1" s="26" t="str">
        <x:v>robot_moved</x:v>
      </x:c>
      <x:c r="U1" s="26" t="str">
        <x:v>status</x:v>
      </x:c>
      <x:c r="V1" s="26" t="str">
        <x:v>notes</x:v>
      </x:c>
      <x:c r="W1" s="12"/>
      <x:c r="X1" s="12"/>
      <x:c r="Y1" s="12"/>
      <x:c r="Z1" s="12"/>
    </x:row>
    <x:row r="2">
      <x:c r="A2" s="12" t="str"/>
      <x:c r="B2" s="12" t="str"/>
      <x:c r="C2" s="12" t="str"/>
      <x:c r="D2" s="12" t="str"/>
      <x:c r="E2" s="3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32" t="str"/>
      <x:c r="O2" s="32" t="str"/>
      <x:c r="P2" s="32" t="str"/>
      <x:c r="Q2" s="32" t="str"/>
      <x:c r="R2" s="32" t="str"/>
      <x:c r="S2" s="32" t="str"/>
      <x:c r="T2" s="12" t="str"/>
      <x:c r="U2" s="12" t="str"/>
      <x:c r="V2" s="12" t="str"/>
      <x:c r="W2" s="12"/>
      <x:c r="X2" s="12"/>
      <x:c r="Y2" s="12"/>
      <x:c r="Z2" s="12"/>
    </x:row>
    <x:row r="3">
      <x:c r="A3" s="12" t="str"/>
      <x:c r="B3" s="12" t="str"/>
      <x:c r="C3" s="12" t="str"/>
      <x:c r="D3" s="12" t="str"/>
      <x:c r="E3" s="3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32" t="str"/>
      <x:c r="O3" s="32" t="str"/>
      <x:c r="P3" s="32" t="str"/>
      <x:c r="Q3" s="32" t="str"/>
      <x:c r="R3" s="32" t="str"/>
      <x:c r="S3" s="32" t="str"/>
      <x:c r="T3" s="12" t="str"/>
      <x:c r="U3" s="12" t="str"/>
      <x:c r="V3" s="12" t="str"/>
      <x:c r="W3" s="12"/>
      <x:c r="X3" s="12"/>
      <x:c r="Y3" s="12"/>
      <x:c r="Z3" s="12"/>
    </x:row>
    <x:row r="4">
      <x:c r="A4" s="12" t="str"/>
      <x:c r="B4" s="12" t="str"/>
      <x:c r="C4" s="12" t="str"/>
      <x:c r="D4" s="12" t="str"/>
      <x:c r="E4" s="3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32" t="str"/>
      <x:c r="O4" s="32" t="str"/>
      <x:c r="P4" s="32" t="str"/>
      <x:c r="Q4" s="32" t="str"/>
      <x:c r="R4" s="32" t="str"/>
      <x:c r="S4" s="32" t="str"/>
      <x:c r="T4" s="12" t="str"/>
      <x:c r="U4" s="12" t="str"/>
      <x:c r="V4" s="12" t="str"/>
      <x:c r="W4" s="12"/>
      <x:c r="X4" s="12"/>
      <x:c r="Y4" s="12"/>
      <x:c r="Z4" s="12"/>
    </x:row>
    <x:row r="5">
      <x:c r="A5" s="12" t="str"/>
      <x:c r="B5" s="12" t="str"/>
      <x:c r="C5" s="12" t="str"/>
      <x:c r="D5" s="12" t="str"/>
      <x:c r="E5" s="3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32" t="str"/>
      <x:c r="O5" s="32" t="str"/>
      <x:c r="P5" s="32" t="str"/>
      <x:c r="Q5" s="32" t="str"/>
      <x:c r="R5" s="32" t="str"/>
      <x:c r="S5" s="32" t="str"/>
      <x:c r="T5" s="12" t="str"/>
      <x:c r="U5" s="12" t="str"/>
      <x:c r="V5" s="12" t="str"/>
      <x:c r="W5" s="12"/>
      <x:c r="X5" s="12"/>
      <x:c r="Y5" s="12"/>
      <x:c r="Z5" s="12"/>
    </x:row>
    <x:row r="6">
      <x:c r="A6" s="12" t="str"/>
      <x:c r="B6" s="12" t="str"/>
      <x:c r="C6" s="12" t="str"/>
      <x:c r="D6" s="12" t="str"/>
      <x:c r="E6" s="3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32" t="str"/>
      <x:c r="O6" s="32" t="str"/>
      <x:c r="P6" s="32" t="str"/>
      <x:c r="Q6" s="32" t="str"/>
      <x:c r="R6" s="32" t="str"/>
      <x:c r="S6" s="32" t="str"/>
      <x:c r="T6" s="12" t="str"/>
      <x:c r="U6" s="12" t="str"/>
      <x:c r="V6" s="12" t="str"/>
      <x:c r="W6" s="12"/>
      <x:c r="X6" s="12"/>
      <x:c r="Y6" s="12"/>
      <x:c r="Z6" s="12"/>
    </x:row>
    <x:row r="7">
      <x:c r="A7" s="12" t="str"/>
      <x:c r="B7" s="12" t="str"/>
      <x:c r="C7" s="12" t="str"/>
      <x:c r="D7" s="12" t="str"/>
      <x:c r="E7" s="3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32" t="str"/>
      <x:c r="O7" s="32" t="str"/>
      <x:c r="P7" s="32" t="str"/>
      <x:c r="Q7" s="32" t="str"/>
      <x:c r="R7" s="32" t="str"/>
      <x:c r="S7" s="32" t="str"/>
      <x:c r="T7" s="12" t="str"/>
      <x:c r="U7" s="12" t="str"/>
      <x:c r="V7" s="12" t="str"/>
      <x:c r="W7" s="12"/>
      <x:c r="X7" s="12"/>
      <x:c r="Y7" s="12"/>
      <x:c r="Z7" s="12"/>
    </x:row>
    <x:row r="8">
      <x:c r="A8" s="12" t="str"/>
      <x:c r="B8" s="12" t="str"/>
      <x:c r="C8" s="12" t="str"/>
      <x:c r="D8" s="12" t="str"/>
      <x:c r="E8" s="3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32" t="str"/>
      <x:c r="O8" s="32" t="str"/>
      <x:c r="P8" s="32" t="str"/>
      <x:c r="Q8" s="32" t="str"/>
      <x:c r="R8" s="32" t="str"/>
      <x:c r="S8" s="32" t="str"/>
      <x:c r="T8" s="12" t="str"/>
      <x:c r="U8" s="12" t="str"/>
      <x:c r="V8" s="12" t="str"/>
      <x:c r="W8" s="12"/>
      <x:c r="X8" s="12"/>
      <x:c r="Y8" s="12"/>
      <x:c r="Z8" s="12"/>
    </x:row>
    <x:row r="9">
      <x:c r="A9" s="12" t="str"/>
      <x:c r="B9" s="12" t="str"/>
      <x:c r="C9" s="12" t="str"/>
      <x:c r="D9" s="12" t="str"/>
      <x:c r="E9" s="3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32" t="str"/>
      <x:c r="O9" s="32" t="str"/>
      <x:c r="P9" s="32" t="str"/>
      <x:c r="Q9" s="32" t="str"/>
      <x:c r="R9" s="32" t="str"/>
      <x:c r="S9" s="32" t="str"/>
      <x:c r="T9" s="12" t="str"/>
      <x:c r="U9" s="12" t="str"/>
      <x:c r="V9" s="12" t="str"/>
      <x:c r="W9" s="12"/>
      <x:c r="X9" s="12"/>
      <x:c r="Y9" s="12"/>
      <x:c r="Z9" s="12"/>
    </x:row>
    <x:row r="10">
      <x:c r="A10" s="12" t="str"/>
      <x:c r="B10" s="12" t="str"/>
      <x:c r="C10" s="12" t="str"/>
      <x:c r="D10" s="12" t="str"/>
      <x:c r="E10" s="3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32" t="str"/>
      <x:c r="O10" s="32" t="str"/>
      <x:c r="P10" s="32" t="str"/>
      <x:c r="Q10" s="32" t="str"/>
      <x:c r="R10" s="32" t="str"/>
      <x:c r="S10" s="32" t="str"/>
      <x:c r="T10" s="12" t="str"/>
      <x:c r="U10" s="12" t="str"/>
      <x:c r="V10" s="12" t="str"/>
      <x:c r="W10" s="12"/>
      <x:c r="X10" s="12"/>
      <x:c r="Y10" s="12"/>
      <x:c r="Z10" s="12"/>
    </x:row>
    <x:row r="11">
      <x:c r="A11" s="12" t="str"/>
      <x:c r="B11" s="12" t="str"/>
      <x:c r="C11" s="12" t="str"/>
      <x:c r="D11" s="12" t="str"/>
      <x:c r="E11" s="3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32" t="str"/>
      <x:c r="O11" s="32" t="str"/>
      <x:c r="P11" s="32" t="str"/>
      <x:c r="Q11" s="32" t="str"/>
      <x:c r="R11" s="32" t="str"/>
      <x:c r="S11" s="32" t="str"/>
      <x:c r="T11" s="12" t="str"/>
      <x:c r="U11" s="12" t="str"/>
      <x:c r="V11" s="12" t="str"/>
      <x:c r="W11" s="12"/>
      <x:c r="X11" s="12"/>
      <x:c r="Y11" s="12"/>
      <x:c r="Z11" s="12"/>
    </x:row>
    <x:row r="12">
      <x:c r="A12" s="12" t="str"/>
      <x:c r="B12" s="12" t="str"/>
      <x:c r="C12" s="12" t="str"/>
      <x:c r="D12" s="12" t="str"/>
      <x:c r="E12" s="3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32" t="str"/>
      <x:c r="O12" s="32" t="str"/>
      <x:c r="P12" s="32" t="str"/>
      <x:c r="Q12" s="32" t="str"/>
      <x:c r="R12" s="32" t="str"/>
      <x:c r="S12" s="32" t="str"/>
      <x:c r="T12" s="12" t="str"/>
      <x:c r="U12" s="12" t="str"/>
      <x:c r="V12" s="12" t="str"/>
      <x:c r="W12" s="12"/>
      <x:c r="X12" s="12"/>
      <x:c r="Y12" s="12"/>
      <x:c r="Z12" s="12"/>
    </x:row>
    <x:row r="13">
      <x:c r="A13" s="12" t="str"/>
      <x:c r="B13" s="12" t="str"/>
      <x:c r="C13" s="12" t="str"/>
      <x:c r="D13" s="12" t="str"/>
      <x:c r="E13" s="3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32" t="str"/>
      <x:c r="O13" s="32" t="str"/>
      <x:c r="P13" s="32" t="str"/>
      <x:c r="Q13" s="32" t="str"/>
      <x:c r="R13" s="32" t="str"/>
      <x:c r="S13" s="32" t="str"/>
      <x:c r="T13" s="12" t="str"/>
      <x:c r="U13" s="12" t="str"/>
      <x:c r="V13" s="12" t="str"/>
      <x:c r="W13" s="12"/>
      <x:c r="X13" s="12"/>
      <x:c r="Y13" s="12"/>
      <x:c r="Z13" s="12"/>
    </x:row>
    <x:row r="14">
      <x:c r="A14" s="12" t="str"/>
      <x:c r="B14" s="12" t="str"/>
      <x:c r="C14" s="12" t="str"/>
      <x:c r="D14" s="12" t="str"/>
      <x:c r="E14" s="3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32" t="str"/>
      <x:c r="O14" s="32" t="str"/>
      <x:c r="P14" s="32" t="str"/>
      <x:c r="Q14" s="32" t="str"/>
      <x:c r="R14" s="32" t="str"/>
      <x:c r="S14" s="32" t="str"/>
      <x:c r="T14" s="12" t="str"/>
      <x:c r="U14" s="12" t="str"/>
      <x:c r="V14" s="12" t="str"/>
      <x:c r="W14" s="12"/>
      <x:c r="X14" s="12"/>
      <x:c r="Y14" s="12"/>
      <x:c r="Z14" s="12"/>
    </x:row>
    <x:row r="15">
      <x:c r="A15" s="12" t="str"/>
      <x:c r="B15" s="12" t="str"/>
      <x:c r="C15" s="12" t="str"/>
      <x:c r="D15" s="12" t="str"/>
      <x:c r="E15" s="3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32" t="str"/>
      <x:c r="O15" s="32" t="str"/>
      <x:c r="P15" s="32" t="str"/>
      <x:c r="Q15" s="32" t="str"/>
      <x:c r="R15" s="32" t="str"/>
      <x:c r="S15" s="32" t="str"/>
      <x:c r="T15" s="12" t="str"/>
      <x:c r="U15" s="12" t="str"/>
      <x:c r="V15" s="12" t="str"/>
      <x:c r="W15" s="12"/>
      <x:c r="X15" s="12"/>
      <x:c r="Y15" s="12"/>
      <x:c r="Z15" s="12"/>
    </x:row>
    <x:row r="16">
      <x:c r="A16" s="12" t="str"/>
      <x:c r="B16" s="12" t="str"/>
      <x:c r="C16" s="12" t="str"/>
      <x:c r="D16" s="12" t="str"/>
      <x:c r="E16" s="3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32" t="str"/>
      <x:c r="O16" s="32" t="str"/>
      <x:c r="P16" s="32" t="str"/>
      <x:c r="Q16" s="32" t="str"/>
      <x:c r="R16" s="32" t="str"/>
      <x:c r="S16" s="32" t="str"/>
      <x:c r="T16" s="12" t="str"/>
      <x:c r="U16" s="12" t="str"/>
      <x:c r="V16" s="12" t="str"/>
      <x:c r="W16" s="12"/>
      <x:c r="X16" s="12"/>
      <x:c r="Y16" s="12"/>
      <x:c r="Z16" s="12"/>
    </x:row>
    <x:row r="17">
      <x:c r="A17" s="12" t="str"/>
      <x:c r="B17" s="12" t="str"/>
      <x:c r="C17" s="12" t="str"/>
      <x:c r="D17" s="12" t="str"/>
      <x:c r="E17" s="3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32" t="str"/>
      <x:c r="O17" s="32" t="str"/>
      <x:c r="P17" s="32" t="str"/>
      <x:c r="Q17" s="32" t="str"/>
      <x:c r="R17" s="32" t="str"/>
      <x:c r="S17" s="32" t="str"/>
      <x:c r="T17" s="12" t="str"/>
      <x:c r="U17" s="12" t="str"/>
      <x:c r="V17" s="12" t="str"/>
      <x:c r="W17" s="12"/>
      <x:c r="X17" s="12"/>
      <x:c r="Y17" s="12"/>
      <x:c r="Z17" s="12"/>
    </x:row>
    <x:row r="18">
      <x:c r="A18" s="12" t="str"/>
      <x:c r="B18" s="12" t="str"/>
      <x:c r="C18" s="12" t="str"/>
      <x:c r="D18" s="12" t="str"/>
      <x:c r="E18" s="3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32" t="str"/>
      <x:c r="O18" s="32" t="str"/>
      <x:c r="P18" s="32" t="str"/>
      <x:c r="Q18" s="32" t="str"/>
      <x:c r="R18" s="32" t="str"/>
      <x:c r="S18" s="32" t="str"/>
      <x:c r="T18" s="12" t="str"/>
      <x:c r="U18" s="12" t="str"/>
      <x:c r="V18" s="12" t="str"/>
      <x:c r="W18" s="12"/>
      <x:c r="X18" s="12"/>
      <x:c r="Y18" s="12"/>
      <x:c r="Z18" s="12"/>
    </x:row>
    <x:row r="19">
      <x:c r="A19" s="12" t="str"/>
      <x:c r="B19" s="12" t="str"/>
      <x:c r="C19" s="12" t="str"/>
      <x:c r="D19" s="12" t="str"/>
      <x:c r="E19" s="3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32" t="str"/>
      <x:c r="O19" s="32" t="str"/>
      <x:c r="P19" s="32" t="str"/>
      <x:c r="Q19" s="32" t="str"/>
      <x:c r="R19" s="32" t="str"/>
      <x:c r="S19" s="32" t="str"/>
      <x:c r="T19" s="12" t="str"/>
      <x:c r="U19" s="12" t="str"/>
      <x:c r="V19" s="12" t="str"/>
      <x:c r="W19" s="12"/>
      <x:c r="X19" s="12"/>
      <x:c r="Y19" s="12"/>
      <x:c r="Z19" s="12"/>
    </x:row>
    <x:row r="20">
      <x:c r="A20" s="12" t="str"/>
      <x:c r="B20" s="12" t="str"/>
      <x:c r="C20" s="12" t="str"/>
      <x:c r="D20" s="12" t="str"/>
      <x:c r="E20" s="3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32" t="str"/>
      <x:c r="O20" s="32" t="str"/>
      <x:c r="P20" s="32" t="str"/>
      <x:c r="Q20" s="32" t="str"/>
      <x:c r="R20" s="32" t="str"/>
      <x:c r="S20" s="32" t="str"/>
      <x:c r="T20" s="12" t="str"/>
      <x:c r="U20" s="12" t="str"/>
      <x:c r="V20" s="12" t="str"/>
      <x:c r="W20" s="12"/>
      <x:c r="X20" s="12"/>
      <x:c r="Y20" s="12"/>
      <x:c r="Z20" s="12"/>
    </x:row>
    <x:row r="21">
      <x:c r="A21" s="12" t="str"/>
      <x:c r="B21" s="12" t="str"/>
      <x:c r="C21" s="12" t="str"/>
      <x:c r="D21" s="12" t="str"/>
      <x:c r="E21" s="3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32" t="str"/>
      <x:c r="O21" s="32" t="str"/>
      <x:c r="P21" s="32" t="str"/>
      <x:c r="Q21" s="32" t="str"/>
      <x:c r="R21" s="32" t="str"/>
      <x:c r="S21" s="32" t="str"/>
      <x:c r="T21" s="12" t="str"/>
      <x:c r="U21" s="12" t="str"/>
      <x:c r="V21" s="12" t="str"/>
      <x:c r="W21" s="12"/>
      <x:c r="X21" s="12"/>
      <x:c r="Y21" s="12"/>
      <x:c r="Z21" s="12"/>
    </x:row>
    <x:row r="22">
      <x:c r="A22" s="12" t="str"/>
      <x:c r="B22" s="12" t="str"/>
      <x:c r="C22" s="12" t="str"/>
      <x:c r="D22" s="12" t="str"/>
      <x:c r="E22" s="3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32" t="str"/>
      <x:c r="O22" s="32" t="str"/>
      <x:c r="P22" s="32" t="str"/>
      <x:c r="Q22" s="32" t="str"/>
      <x:c r="R22" s="32" t="str"/>
      <x:c r="S22" s="32" t="str"/>
      <x:c r="T22" s="12" t="str"/>
      <x:c r="U22" s="12" t="str"/>
      <x:c r="V22" s="12" t="str"/>
      <x:c r="W22" s="12"/>
      <x:c r="X22" s="12"/>
      <x:c r="Y22" s="12"/>
      <x:c r="Z22" s="12"/>
    </x:row>
    <x:row r="23">
      <x:c r="A23" s="12" t="str"/>
      <x:c r="B23" s="12" t="str"/>
      <x:c r="C23" s="12" t="str"/>
      <x:c r="D23" s="12" t="str"/>
      <x:c r="E23" s="3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32" t="str"/>
      <x:c r="O23" s="32" t="str"/>
      <x:c r="P23" s="32" t="str"/>
      <x:c r="Q23" s="32" t="str"/>
      <x:c r="R23" s="32" t="str"/>
      <x:c r="S23" s="32" t="str"/>
      <x:c r="T23" s="12" t="str"/>
      <x:c r="U23" s="12" t="str"/>
      <x:c r="V23" s="12" t="str"/>
      <x:c r="W23" s="12"/>
      <x:c r="X23" s="12"/>
      <x:c r="Y23" s="12"/>
      <x:c r="Z23" s="12"/>
    </x:row>
    <x:row r="24">
      <x:c r="A24" s="12" t="str"/>
      <x:c r="B24" s="12" t="str"/>
      <x:c r="C24" s="12" t="str"/>
      <x:c r="D24" s="12" t="str"/>
      <x:c r="E24" s="3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32" t="str"/>
      <x:c r="O24" s="32" t="str"/>
      <x:c r="P24" s="32" t="str"/>
      <x:c r="Q24" s="32" t="str"/>
      <x:c r="R24" s="32" t="str"/>
      <x:c r="S24" s="32" t="str"/>
      <x:c r="T24" s="12" t="str"/>
      <x:c r="U24" s="12" t="str"/>
      <x:c r="V24" s="12" t="str"/>
      <x:c r="W24" s="12"/>
      <x:c r="X24" s="12"/>
      <x:c r="Y24" s="12"/>
      <x:c r="Z24" s="12"/>
    </x:row>
    <x:row r="25">
      <x:c r="A25" s="12" t="str"/>
      <x:c r="B25" s="12" t="str"/>
      <x:c r="C25" s="12" t="str"/>
      <x:c r="D25" s="12" t="str"/>
      <x:c r="E25" s="3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32" t="str"/>
      <x:c r="O25" s="32" t="str"/>
      <x:c r="P25" s="32" t="str"/>
      <x:c r="Q25" s="32" t="str"/>
      <x:c r="R25" s="32" t="str"/>
      <x:c r="S25" s="32" t="str"/>
      <x:c r="T25" s="12" t="str"/>
      <x:c r="U25" s="12" t="str"/>
      <x:c r="V25" s="12" t="str"/>
      <x:c r="W25" s="12"/>
      <x:c r="X25" s="12"/>
      <x:c r="Y25" s="12"/>
      <x:c r="Z25" s="12"/>
    </x:row>
    <x:row r="26">
      <x:c r="A26" s="12" t="str"/>
      <x:c r="B26" s="12" t="str"/>
      <x:c r="C26" s="12" t="str"/>
      <x:c r="D26" s="12" t="str"/>
      <x:c r="E26" s="3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32" t="str"/>
      <x:c r="O26" s="32" t="str"/>
      <x:c r="P26" s="32" t="str"/>
      <x:c r="Q26" s="32" t="str"/>
      <x:c r="R26" s="32" t="str"/>
      <x:c r="S26" s="32" t="str"/>
      <x:c r="T26" s="12" t="str"/>
      <x:c r="U26" s="12" t="str"/>
      <x:c r="V26" s="12" t="str"/>
      <x:c r="W26" s="12"/>
      <x:c r="X26" s="12"/>
      <x:c r="Y26" s="12"/>
      <x:c r="Z26" s="12"/>
    </x:row>
    <x:row r="27">
      <x:c r="A27" s="12" t="str"/>
      <x:c r="B27" s="12" t="str"/>
      <x:c r="C27" s="12" t="str"/>
      <x:c r="D27" s="12" t="str"/>
      <x:c r="E27" s="3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32" t="str"/>
      <x:c r="O27" s="32" t="str"/>
      <x:c r="P27" s="32" t="str"/>
      <x:c r="Q27" s="32" t="str"/>
      <x:c r="R27" s="32" t="str"/>
      <x:c r="S27" s="32" t="str"/>
      <x:c r="T27" s="12" t="str"/>
      <x:c r="U27" s="12" t="str"/>
      <x:c r="V27" s="12" t="str"/>
      <x:c r="W27" s="12"/>
      <x:c r="X27" s="12"/>
      <x:c r="Y27" s="12"/>
      <x:c r="Z27" s="12"/>
    </x:row>
    <x:row r="28">
      <x:c r="A28" s="12" t="str"/>
      <x:c r="B28" s="12" t="str"/>
      <x:c r="C28" s="12" t="str"/>
      <x:c r="D28" s="12" t="str"/>
      <x:c r="E28" s="3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32" t="str"/>
      <x:c r="O28" s="32" t="str"/>
      <x:c r="P28" s="32" t="str"/>
      <x:c r="Q28" s="32" t="str"/>
      <x:c r="R28" s="32" t="str"/>
      <x:c r="S28" s="32" t="str"/>
      <x:c r="T28" s="12" t="str"/>
      <x:c r="U28" s="12" t="str"/>
      <x:c r="V28" s="12" t="str"/>
      <x:c r="W28" s="12"/>
      <x:c r="X28" s="12"/>
      <x:c r="Y28" s="12"/>
      <x:c r="Z28" s="12"/>
    </x:row>
    <x:row r="29">
      <x:c r="A29" s="12" t="str"/>
      <x:c r="B29" s="12" t="str"/>
      <x:c r="C29" s="12" t="str"/>
      <x:c r="D29" s="12" t="str"/>
      <x:c r="E29" s="3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32" t="str"/>
      <x:c r="O29" s="32" t="str"/>
      <x:c r="P29" s="32" t="str"/>
      <x:c r="Q29" s="32" t="str"/>
      <x:c r="R29" s="32" t="str"/>
      <x:c r="S29" s="32" t="str"/>
      <x:c r="T29" s="12" t="str"/>
      <x:c r="U29" s="12" t="str"/>
      <x:c r="V29" s="12" t="str"/>
      <x:c r="W29" s="12"/>
      <x:c r="X29" s="12"/>
      <x:c r="Y29" s="12"/>
      <x:c r="Z29" s="12"/>
    </x:row>
    <x:row r="30">
      <x:c r="A30" s="12" t="str"/>
      <x:c r="B30" s="12" t="str"/>
      <x:c r="C30" s="12" t="str"/>
      <x:c r="D30" s="12" t="str"/>
      <x:c r="E30" s="3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32" t="str"/>
      <x:c r="O30" s="32" t="str"/>
      <x:c r="P30" s="32" t="str"/>
      <x:c r="Q30" s="32" t="str"/>
      <x:c r="R30" s="32" t="str"/>
      <x:c r="S30" s="32" t="str"/>
      <x:c r="T30" s="12" t="str"/>
      <x:c r="U30" s="12" t="str"/>
      <x:c r="V30" s="12" t="str"/>
      <x:c r="W30" s="12"/>
      <x:c r="X30" s="12"/>
      <x:c r="Y30" s="12"/>
      <x:c r="Z30" s="12"/>
    </x:row>
    <x:row r="31">
      <x:c r="A31" s="12" t="str"/>
      <x:c r="B31" s="12" t="str"/>
      <x:c r="C31" s="12" t="str"/>
      <x:c r="D31" s="12" t="str"/>
      <x:c r="E31" s="3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32" t="str"/>
      <x:c r="O31" s="32" t="str"/>
      <x:c r="P31" s="32" t="str"/>
      <x:c r="Q31" s="32" t="str"/>
      <x:c r="R31" s="32" t="str"/>
      <x:c r="S31" s="32" t="str"/>
      <x:c r="T31" s="12" t="str"/>
      <x:c r="U31" s="12" t="str"/>
      <x:c r="V31" s="12" t="str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21dcf4291e674f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9.380001068115234" hidden="0" customWidth="1"/>
    <x:col min="2" max="2" width="6.380000114440918" hidden="0" customWidth="1"/>
    <x:col min="3" max="3" width="6.75" hidden="0" customWidth="1"/>
    <x:col min="4" max="4" width="6.630000114440918" hidden="0" customWidth="1"/>
    <x:col min="5" max="5" width="11.880000114440918" hidden="0" customWidth="1"/>
    <x:col min="6" max="6" width="14.25" hidden="0" customWidth="1"/>
    <x:col min="7" max="7" width="14.75" hidden="0" customWidth="1"/>
    <x:col min="8" max="8" width="10.130000114440918" hidden="0" customWidth="1"/>
    <x:col min="9" max="9" width="16" hidden="0" customWidth="1"/>
    <x:col min="10" max="10" width="21.6299991607666" hidden="0" customWidth="1"/>
    <x:col min="11" max="11" width="7.75" hidden="0" customWidth="1"/>
    <x:col min="12" max="12" width="8.880000114440918" hidden="0" customWidth="1"/>
  </x:cols>
  <x:sheetData>
    <x:row r="1">
      <x:c r="A1" s="28" t="str">
        <x:v>Tabel Laporan: Mode Demo Navigation2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26" t="str">
        <x:v>No</x:v>
      </x:c>
      <x:c r="B3" s="26" t="str">
        <x:v>Trial</x:v>
      </x:c>
      <x:c r="C3" s="26" t="str">
        <x:v>Start</x:v>
      </x:c>
      <x:c r="D3" s="26" t="str">
        <x:v>Goal</x:v>
      </x:c>
      <x:c r="E3" s="26" t="str">
        <x:v>Global Path</x:v>
      </x:c>
      <x:c r="F3" s="26" t="str">
        <x:v>/cmd_vel Aktif</x:v>
      </x:c>
      <x:c r="G3" s="26" t="str">
        <x:v>Robot Bergerak</x:v>
      </x:c>
      <x:c r="H3" s="26" t="str">
        <x:v>Durasi (s)</x:v>
      </x:c>
      <x:c r="I3" s="26" t="str">
        <x:v>Max Linear (m/s)</x:v>
      </x:c>
      <x:c r="J3" s="26" t="str">
        <x:v>Odom Displacement (m)</x:v>
      </x:c>
      <x:c r="K3" s="26" t="str">
        <x:v>Status</x:v>
      </x:c>
      <x:c r="L3" s="26" t="str">
        <x:v>Catatan</x:v>
      </x:c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f>IF(Navigation_Raw!B2&lt;&gt;"",1,"")</x:f>
      </x:c>
      <x:c r="B4" s="12" t="str">
        <x:f>IF(Navigation_Raw!B2&lt;&gt;"",Navigation_Raw!B2,"")</x:f>
      </x:c>
      <x:c r="C4" s="12" t="str">
        <x:f>IF(Navigation_Raw!B2&lt;&gt;"",Navigation_Raw!C2,"")</x:f>
      </x:c>
      <x:c r="D4" s="12" t="str">
        <x:f>IF(Navigation_Raw!B2&lt;&gt;"",Navigation_Raw!D2,"")</x:f>
      </x:c>
      <x:c r="E4" s="12" t="str">
        <x:f>IF(Navigation_Raw!B2&lt;&gt;"",Navigation_Raw!G2,"")</x:f>
      </x:c>
      <x:c r="F4" s="12" t="str">
        <x:f>IF(Navigation_Raw!B2&lt;&gt;"",Navigation_Raw!M2,"")</x:f>
      </x:c>
      <x:c r="G4" s="12" t="str">
        <x:f>IF(Navigation_Raw!B2&lt;&gt;"",Navigation_Raw!T2,"")</x:f>
      </x:c>
      <x:c r="H4" s="12" t="str">
        <x:f>IF(Navigation_Raw!B2&lt;&gt;"",Navigation_Raw!E2,"")</x:f>
      </x:c>
      <x:c r="I4" s="12" t="str">
        <x:f>IF(Navigation_Raw!B2&lt;&gt;"",Navigation_Raw!O2,"")</x:f>
      </x:c>
      <x:c r="J4" s="12" t="str">
        <x:f>IF(Navigation_Raw!B2&lt;&gt;"",Navigation_Raw!R2,"")</x:f>
      </x:c>
      <x:c r="K4" s="12" t="str">
        <x:f>IF(Navigation_Raw!B2&lt;&gt;"",Navigation_Raw!U2,"")</x:f>
      </x:c>
      <x:c r="L4" s="12" t="str">
        <x:f>IF(Navigation_Raw!B2&lt;&gt;"",Navigation_Raw!V2,"")</x:f>
      </x:c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f>IF(Navigation_Raw!B3&lt;&gt;"",2,"")</x:f>
      </x:c>
      <x:c r="B5" s="12" t="str">
        <x:f>IF(Navigation_Raw!B3&lt;&gt;"",Navigation_Raw!B3,"")</x:f>
      </x:c>
      <x:c r="C5" s="12" t="str">
        <x:f>IF(Navigation_Raw!B3&lt;&gt;"",Navigation_Raw!C3,"")</x:f>
      </x:c>
      <x:c r="D5" s="12" t="str">
        <x:f>IF(Navigation_Raw!B3&lt;&gt;"",Navigation_Raw!D3,"")</x:f>
      </x:c>
      <x:c r="E5" s="12" t="str">
        <x:f>IF(Navigation_Raw!B3&lt;&gt;"",Navigation_Raw!G3,"")</x:f>
      </x:c>
      <x:c r="F5" s="12" t="str">
        <x:f>IF(Navigation_Raw!B3&lt;&gt;"",Navigation_Raw!M3,"")</x:f>
      </x:c>
      <x:c r="G5" s="12" t="str">
        <x:f>IF(Navigation_Raw!B3&lt;&gt;"",Navigation_Raw!T3,"")</x:f>
      </x:c>
      <x:c r="H5" s="12" t="str">
        <x:f>IF(Navigation_Raw!B3&lt;&gt;"",Navigation_Raw!E3,"")</x:f>
      </x:c>
      <x:c r="I5" s="12" t="str">
        <x:f>IF(Navigation_Raw!B3&lt;&gt;"",Navigation_Raw!O3,"")</x:f>
      </x:c>
      <x:c r="J5" s="12" t="str">
        <x:f>IF(Navigation_Raw!B3&lt;&gt;"",Navigation_Raw!R3,"")</x:f>
      </x:c>
      <x:c r="K5" s="12" t="str">
        <x:f>IF(Navigation_Raw!B3&lt;&gt;"",Navigation_Raw!U3,"")</x:f>
      </x:c>
      <x:c r="L5" s="12" t="str">
        <x:f>IF(Navigation_Raw!B3&lt;&gt;"",Navigation_Raw!V3,"")</x:f>
      </x:c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f>IF(Navigation_Raw!B4&lt;&gt;"",3,"")</x:f>
      </x:c>
      <x:c r="B6" s="12" t="str">
        <x:f>IF(Navigation_Raw!B4&lt;&gt;"",Navigation_Raw!B4,"")</x:f>
      </x:c>
      <x:c r="C6" s="12" t="str">
        <x:f>IF(Navigation_Raw!B4&lt;&gt;"",Navigation_Raw!C4,"")</x:f>
      </x:c>
      <x:c r="D6" s="12" t="str">
        <x:f>IF(Navigation_Raw!B4&lt;&gt;"",Navigation_Raw!D4,"")</x:f>
      </x:c>
      <x:c r="E6" s="12" t="str">
        <x:f>IF(Navigation_Raw!B4&lt;&gt;"",Navigation_Raw!G4,"")</x:f>
      </x:c>
      <x:c r="F6" s="12" t="str">
        <x:f>IF(Navigation_Raw!B4&lt;&gt;"",Navigation_Raw!M4,"")</x:f>
      </x:c>
      <x:c r="G6" s="12" t="str">
        <x:f>IF(Navigation_Raw!B4&lt;&gt;"",Navigation_Raw!T4,"")</x:f>
      </x:c>
      <x:c r="H6" s="12" t="str">
        <x:f>IF(Navigation_Raw!B4&lt;&gt;"",Navigation_Raw!E4,"")</x:f>
      </x:c>
      <x:c r="I6" s="12" t="str">
        <x:f>IF(Navigation_Raw!B4&lt;&gt;"",Navigation_Raw!O4,"")</x:f>
      </x:c>
      <x:c r="J6" s="12" t="str">
        <x:f>IF(Navigation_Raw!B4&lt;&gt;"",Navigation_Raw!R4,"")</x:f>
      </x:c>
      <x:c r="K6" s="12" t="str">
        <x:f>IF(Navigation_Raw!B4&lt;&gt;"",Navigation_Raw!U4,"")</x:f>
      </x:c>
      <x:c r="L6" s="12" t="str">
        <x:f>IF(Navigation_Raw!B4&lt;&gt;"",Navigation_Raw!V4,"")</x:f>
      </x:c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f>IF(Navigation_Raw!B5&lt;&gt;"",4,"")</x:f>
      </x:c>
      <x:c r="B7" s="12" t="str">
        <x:f>IF(Navigation_Raw!B5&lt;&gt;"",Navigation_Raw!B5,"")</x:f>
      </x:c>
      <x:c r="C7" s="12" t="str">
        <x:f>IF(Navigation_Raw!B5&lt;&gt;"",Navigation_Raw!C5,"")</x:f>
      </x:c>
      <x:c r="D7" s="12" t="str">
        <x:f>IF(Navigation_Raw!B5&lt;&gt;"",Navigation_Raw!D5,"")</x:f>
      </x:c>
      <x:c r="E7" s="12" t="str">
        <x:f>IF(Navigation_Raw!B5&lt;&gt;"",Navigation_Raw!G5,"")</x:f>
      </x:c>
      <x:c r="F7" s="12" t="str">
        <x:f>IF(Navigation_Raw!B5&lt;&gt;"",Navigation_Raw!M5,"")</x:f>
      </x:c>
      <x:c r="G7" s="12" t="str">
        <x:f>IF(Navigation_Raw!B5&lt;&gt;"",Navigation_Raw!T5,"")</x:f>
      </x:c>
      <x:c r="H7" s="12" t="str">
        <x:f>IF(Navigation_Raw!B5&lt;&gt;"",Navigation_Raw!E5,"")</x:f>
      </x:c>
      <x:c r="I7" s="12" t="str">
        <x:f>IF(Navigation_Raw!B5&lt;&gt;"",Navigation_Raw!O5,"")</x:f>
      </x:c>
      <x:c r="J7" s="12" t="str">
        <x:f>IF(Navigation_Raw!B5&lt;&gt;"",Navigation_Raw!R5,"")</x:f>
      </x:c>
      <x:c r="K7" s="12" t="str">
        <x:f>IF(Navigation_Raw!B5&lt;&gt;"",Navigation_Raw!U5,"")</x:f>
      </x:c>
      <x:c r="L7" s="12" t="str">
        <x:f>IF(Navigation_Raw!B5&lt;&gt;"",Navigation_Raw!V5,"")</x:f>
      </x:c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>
        <x:f>IF(Navigation_Raw!B6&lt;&gt;"",5,"")</x:f>
      </x:c>
      <x:c r="B8" s="12" t="str">
        <x:f>IF(Navigation_Raw!B6&lt;&gt;"",Navigation_Raw!B6,"")</x:f>
      </x:c>
      <x:c r="C8" s="12" t="str">
        <x:f>IF(Navigation_Raw!B6&lt;&gt;"",Navigation_Raw!C6,"")</x:f>
      </x:c>
      <x:c r="D8" s="12" t="str">
        <x:f>IF(Navigation_Raw!B6&lt;&gt;"",Navigation_Raw!D6,"")</x:f>
      </x:c>
      <x:c r="E8" s="12" t="str">
        <x:f>IF(Navigation_Raw!B6&lt;&gt;"",Navigation_Raw!G6,"")</x:f>
      </x:c>
      <x:c r="F8" s="12" t="str">
        <x:f>IF(Navigation_Raw!B6&lt;&gt;"",Navigation_Raw!M6,"")</x:f>
      </x:c>
      <x:c r="G8" s="12" t="str">
        <x:f>IF(Navigation_Raw!B6&lt;&gt;"",Navigation_Raw!T6,"")</x:f>
      </x:c>
      <x:c r="H8" s="12" t="str">
        <x:f>IF(Navigation_Raw!B6&lt;&gt;"",Navigation_Raw!E6,"")</x:f>
      </x:c>
      <x:c r="I8" s="12" t="str">
        <x:f>IF(Navigation_Raw!B6&lt;&gt;"",Navigation_Raw!O6,"")</x:f>
      </x:c>
      <x:c r="J8" s="12" t="str">
        <x:f>IF(Navigation_Raw!B6&lt;&gt;"",Navigation_Raw!R6,"")</x:f>
      </x:c>
      <x:c r="K8" s="12" t="str">
        <x:f>IF(Navigation_Raw!B6&lt;&gt;"",Navigation_Raw!U6,"")</x:f>
      </x:c>
      <x:c r="L8" s="12" t="str">
        <x:f>IF(Navigation_Raw!B6&lt;&gt;"",Navigation_Raw!V6,"")</x:f>
      </x:c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>
        <x:f>IF(Navigation_Raw!B7&lt;&gt;"",6,"")</x:f>
      </x:c>
      <x:c r="B9" s="12" t="str">
        <x:f>IF(Navigation_Raw!B7&lt;&gt;"",Navigation_Raw!B7,"")</x:f>
      </x:c>
      <x:c r="C9" s="12" t="str">
        <x:f>IF(Navigation_Raw!B7&lt;&gt;"",Navigation_Raw!C7,"")</x:f>
      </x:c>
      <x:c r="D9" s="12" t="str">
        <x:f>IF(Navigation_Raw!B7&lt;&gt;"",Navigation_Raw!D7,"")</x:f>
      </x:c>
      <x:c r="E9" s="12" t="str">
        <x:f>IF(Navigation_Raw!B7&lt;&gt;"",Navigation_Raw!G7,"")</x:f>
      </x:c>
      <x:c r="F9" s="12" t="str">
        <x:f>IF(Navigation_Raw!B7&lt;&gt;"",Navigation_Raw!M7,"")</x:f>
      </x:c>
      <x:c r="G9" s="12" t="str">
        <x:f>IF(Navigation_Raw!B7&lt;&gt;"",Navigation_Raw!T7,"")</x:f>
      </x:c>
      <x:c r="H9" s="12" t="str">
        <x:f>IF(Navigation_Raw!B7&lt;&gt;"",Navigation_Raw!E7,"")</x:f>
      </x:c>
      <x:c r="I9" s="12" t="str">
        <x:f>IF(Navigation_Raw!B7&lt;&gt;"",Navigation_Raw!O7,"")</x:f>
      </x:c>
      <x:c r="J9" s="12" t="str">
        <x:f>IF(Navigation_Raw!B7&lt;&gt;"",Navigation_Raw!R7,"")</x:f>
      </x:c>
      <x:c r="K9" s="12" t="str">
        <x:f>IF(Navigation_Raw!B7&lt;&gt;"",Navigation_Raw!U7,"")</x:f>
      </x:c>
      <x:c r="L9" s="12" t="str">
        <x:f>IF(Navigation_Raw!B7&lt;&gt;"",Navigation_Raw!V7,"")</x:f>
      </x:c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f>IF(Navigation_Raw!B8&lt;&gt;"",7,"")</x:f>
      </x:c>
      <x:c r="B10" s="12" t="str">
        <x:f>IF(Navigation_Raw!B8&lt;&gt;"",Navigation_Raw!B8,"")</x:f>
      </x:c>
      <x:c r="C10" s="12" t="str">
        <x:f>IF(Navigation_Raw!B8&lt;&gt;"",Navigation_Raw!C8,"")</x:f>
      </x:c>
      <x:c r="D10" s="12" t="str">
        <x:f>IF(Navigation_Raw!B8&lt;&gt;"",Navigation_Raw!D8,"")</x:f>
      </x:c>
      <x:c r="E10" s="12" t="str">
        <x:f>IF(Navigation_Raw!B8&lt;&gt;"",Navigation_Raw!G8,"")</x:f>
      </x:c>
      <x:c r="F10" s="12" t="str">
        <x:f>IF(Navigation_Raw!B8&lt;&gt;"",Navigation_Raw!M8,"")</x:f>
      </x:c>
      <x:c r="G10" s="12" t="str">
        <x:f>IF(Navigation_Raw!B8&lt;&gt;"",Navigation_Raw!T8,"")</x:f>
      </x:c>
      <x:c r="H10" s="12" t="str">
        <x:f>IF(Navigation_Raw!B8&lt;&gt;"",Navigation_Raw!E8,"")</x:f>
      </x:c>
      <x:c r="I10" s="12" t="str">
        <x:f>IF(Navigation_Raw!B8&lt;&gt;"",Navigation_Raw!O8,"")</x:f>
      </x:c>
      <x:c r="J10" s="12" t="str">
        <x:f>IF(Navigation_Raw!B8&lt;&gt;"",Navigation_Raw!R8,"")</x:f>
      </x:c>
      <x:c r="K10" s="12" t="str">
        <x:f>IF(Navigation_Raw!B8&lt;&gt;"",Navigation_Raw!U8,"")</x:f>
      </x:c>
      <x:c r="L10" s="12" t="str">
        <x:f>IF(Navigation_Raw!B8&lt;&gt;"",Navigation_Raw!V8,"")</x:f>
      </x:c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f>IF(Navigation_Raw!B9&lt;&gt;"",8,"")</x:f>
      </x:c>
      <x:c r="B11" s="12" t="str">
        <x:f>IF(Navigation_Raw!B9&lt;&gt;"",Navigation_Raw!B9,"")</x:f>
      </x:c>
      <x:c r="C11" s="12" t="str">
        <x:f>IF(Navigation_Raw!B9&lt;&gt;"",Navigation_Raw!C9,"")</x:f>
      </x:c>
      <x:c r="D11" s="12" t="str">
        <x:f>IF(Navigation_Raw!B9&lt;&gt;"",Navigation_Raw!D9,"")</x:f>
      </x:c>
      <x:c r="E11" s="12" t="str">
        <x:f>IF(Navigation_Raw!B9&lt;&gt;"",Navigation_Raw!G9,"")</x:f>
      </x:c>
      <x:c r="F11" s="12" t="str">
        <x:f>IF(Navigation_Raw!B9&lt;&gt;"",Navigation_Raw!M9,"")</x:f>
      </x:c>
      <x:c r="G11" s="12" t="str">
        <x:f>IF(Navigation_Raw!B9&lt;&gt;"",Navigation_Raw!T9,"")</x:f>
      </x:c>
      <x:c r="H11" s="12" t="str">
        <x:f>IF(Navigation_Raw!B9&lt;&gt;"",Navigation_Raw!E9,"")</x:f>
      </x:c>
      <x:c r="I11" s="12" t="str">
        <x:f>IF(Navigation_Raw!B9&lt;&gt;"",Navigation_Raw!O9,"")</x:f>
      </x:c>
      <x:c r="J11" s="12" t="str">
        <x:f>IF(Navigation_Raw!B9&lt;&gt;"",Navigation_Raw!R9,"")</x:f>
      </x:c>
      <x:c r="K11" s="12" t="str">
        <x:f>IF(Navigation_Raw!B9&lt;&gt;"",Navigation_Raw!U9,"")</x:f>
      </x:c>
      <x:c r="L11" s="12" t="str">
        <x:f>IF(Navigation_Raw!B9&lt;&gt;"",Navigation_Raw!V9,"")</x:f>
      </x:c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f>IF(Navigation_Raw!B10&lt;&gt;"",9,"")</x:f>
      </x:c>
      <x:c r="B12" s="12" t="str">
        <x:f>IF(Navigation_Raw!B10&lt;&gt;"",Navigation_Raw!B10,"")</x:f>
      </x:c>
      <x:c r="C12" s="12" t="str">
        <x:f>IF(Navigation_Raw!B10&lt;&gt;"",Navigation_Raw!C10,"")</x:f>
      </x:c>
      <x:c r="D12" s="12" t="str">
        <x:f>IF(Navigation_Raw!B10&lt;&gt;"",Navigation_Raw!D10,"")</x:f>
      </x:c>
      <x:c r="E12" s="12" t="str">
        <x:f>IF(Navigation_Raw!B10&lt;&gt;"",Navigation_Raw!G10,"")</x:f>
      </x:c>
      <x:c r="F12" s="12" t="str">
        <x:f>IF(Navigation_Raw!B10&lt;&gt;"",Navigation_Raw!M10,"")</x:f>
      </x:c>
      <x:c r="G12" s="12" t="str">
        <x:f>IF(Navigation_Raw!B10&lt;&gt;"",Navigation_Raw!T10,"")</x:f>
      </x:c>
      <x:c r="H12" s="12" t="str">
        <x:f>IF(Navigation_Raw!B10&lt;&gt;"",Navigation_Raw!E10,"")</x:f>
      </x:c>
      <x:c r="I12" s="12" t="str">
        <x:f>IF(Navigation_Raw!B10&lt;&gt;"",Navigation_Raw!O10,"")</x:f>
      </x:c>
      <x:c r="J12" s="12" t="str">
        <x:f>IF(Navigation_Raw!B10&lt;&gt;"",Navigation_Raw!R10,"")</x:f>
      </x:c>
      <x:c r="K12" s="12" t="str">
        <x:f>IF(Navigation_Raw!B10&lt;&gt;"",Navigation_Raw!U10,"")</x:f>
      </x:c>
      <x:c r="L12" s="12" t="str">
        <x:f>IF(Navigation_Raw!B10&lt;&gt;"",Navigation_Raw!V10,"")</x:f>
      </x:c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>
        <x:f>IF(Navigation_Raw!B11&lt;&gt;"",10,"")</x:f>
      </x:c>
      <x:c r="B13" s="12" t="str">
        <x:f>IF(Navigation_Raw!B11&lt;&gt;"",Navigation_Raw!B11,"")</x:f>
      </x:c>
      <x:c r="C13" s="12" t="str">
        <x:f>IF(Navigation_Raw!B11&lt;&gt;"",Navigation_Raw!C11,"")</x:f>
      </x:c>
      <x:c r="D13" s="12" t="str">
        <x:f>IF(Navigation_Raw!B11&lt;&gt;"",Navigation_Raw!D11,"")</x:f>
      </x:c>
      <x:c r="E13" s="12" t="str">
        <x:f>IF(Navigation_Raw!B11&lt;&gt;"",Navigation_Raw!G11,"")</x:f>
      </x:c>
      <x:c r="F13" s="12" t="str">
        <x:f>IF(Navigation_Raw!B11&lt;&gt;"",Navigation_Raw!M11,"")</x:f>
      </x:c>
      <x:c r="G13" s="12" t="str">
        <x:f>IF(Navigation_Raw!B11&lt;&gt;"",Navigation_Raw!T11,"")</x:f>
      </x:c>
      <x:c r="H13" s="12" t="str">
        <x:f>IF(Navigation_Raw!B11&lt;&gt;"",Navigation_Raw!E11,"")</x:f>
      </x:c>
      <x:c r="I13" s="12" t="str">
        <x:f>IF(Navigation_Raw!B11&lt;&gt;"",Navigation_Raw!O11,"")</x:f>
      </x:c>
      <x:c r="J13" s="12" t="str">
        <x:f>IF(Navigation_Raw!B11&lt;&gt;"",Navigation_Raw!R11,"")</x:f>
      </x:c>
      <x:c r="K13" s="12" t="str">
        <x:f>IF(Navigation_Raw!B11&lt;&gt;"",Navigation_Raw!U11,"")</x:f>
      </x:c>
      <x:c r="L13" s="12" t="str">
        <x:f>IF(Navigation_Raw!B11&lt;&gt;"",Navigation_Raw!V11,"")</x:f>
      </x:c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>
        <x:f>IF(Navigation_Raw!B12&lt;&gt;"",11,"")</x:f>
      </x:c>
      <x:c r="B14" s="12" t="str">
        <x:f>IF(Navigation_Raw!B12&lt;&gt;"",Navigation_Raw!B12,"")</x:f>
      </x:c>
      <x:c r="C14" s="12" t="str">
        <x:f>IF(Navigation_Raw!B12&lt;&gt;"",Navigation_Raw!C12,"")</x:f>
      </x:c>
      <x:c r="D14" s="12" t="str">
        <x:f>IF(Navigation_Raw!B12&lt;&gt;"",Navigation_Raw!D12,"")</x:f>
      </x:c>
      <x:c r="E14" s="12" t="str">
        <x:f>IF(Navigation_Raw!B12&lt;&gt;"",Navigation_Raw!G12,"")</x:f>
      </x:c>
      <x:c r="F14" s="12" t="str">
        <x:f>IF(Navigation_Raw!B12&lt;&gt;"",Navigation_Raw!M12,"")</x:f>
      </x:c>
      <x:c r="G14" s="12" t="str">
        <x:f>IF(Navigation_Raw!B12&lt;&gt;"",Navigation_Raw!T12,"")</x:f>
      </x:c>
      <x:c r="H14" s="12" t="str">
        <x:f>IF(Navigation_Raw!B12&lt;&gt;"",Navigation_Raw!E12,"")</x:f>
      </x:c>
      <x:c r="I14" s="12" t="str">
        <x:f>IF(Navigation_Raw!B12&lt;&gt;"",Navigation_Raw!O12,"")</x:f>
      </x:c>
      <x:c r="J14" s="12" t="str">
        <x:f>IF(Navigation_Raw!B12&lt;&gt;"",Navigation_Raw!R12,"")</x:f>
      </x:c>
      <x:c r="K14" s="12" t="str">
        <x:f>IF(Navigation_Raw!B12&lt;&gt;"",Navigation_Raw!U12,"")</x:f>
      </x:c>
      <x:c r="L14" s="12" t="str">
        <x:f>IF(Navigation_Raw!B12&lt;&gt;"",Navigation_Raw!V12,"")</x:f>
      </x:c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 t="str">
        <x:f>IF(Navigation_Raw!B13&lt;&gt;"",12,"")</x:f>
      </x:c>
      <x:c r="B15" s="12" t="str">
        <x:f>IF(Navigation_Raw!B13&lt;&gt;"",Navigation_Raw!B13,"")</x:f>
      </x:c>
      <x:c r="C15" s="12" t="str">
        <x:f>IF(Navigation_Raw!B13&lt;&gt;"",Navigation_Raw!C13,"")</x:f>
      </x:c>
      <x:c r="D15" s="12" t="str">
        <x:f>IF(Navigation_Raw!B13&lt;&gt;"",Navigation_Raw!D13,"")</x:f>
      </x:c>
      <x:c r="E15" s="12" t="str">
        <x:f>IF(Navigation_Raw!B13&lt;&gt;"",Navigation_Raw!G13,"")</x:f>
      </x:c>
      <x:c r="F15" s="12" t="str">
        <x:f>IF(Navigation_Raw!B13&lt;&gt;"",Navigation_Raw!M13,"")</x:f>
      </x:c>
      <x:c r="G15" s="12" t="str">
        <x:f>IF(Navigation_Raw!B13&lt;&gt;"",Navigation_Raw!T13,"")</x:f>
      </x:c>
      <x:c r="H15" s="12" t="str">
        <x:f>IF(Navigation_Raw!B13&lt;&gt;"",Navigation_Raw!E13,"")</x:f>
      </x:c>
      <x:c r="I15" s="12" t="str">
        <x:f>IF(Navigation_Raw!B13&lt;&gt;"",Navigation_Raw!O13,"")</x:f>
      </x:c>
      <x:c r="J15" s="12" t="str">
        <x:f>IF(Navigation_Raw!B13&lt;&gt;"",Navigation_Raw!R13,"")</x:f>
      </x:c>
      <x:c r="K15" s="12" t="str">
        <x:f>IF(Navigation_Raw!B13&lt;&gt;"",Navigation_Raw!U13,"")</x:f>
      </x:c>
      <x:c r="L15" s="12" t="str">
        <x:f>IF(Navigation_Raw!B13&lt;&gt;"",Navigation_Raw!V13,"")</x:f>
      </x:c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>
        <x:f>IF(Navigation_Raw!B14&lt;&gt;"",13,"")</x:f>
      </x:c>
      <x:c r="B16" s="12" t="str">
        <x:f>IF(Navigation_Raw!B14&lt;&gt;"",Navigation_Raw!B14,"")</x:f>
      </x:c>
      <x:c r="C16" s="12" t="str">
        <x:f>IF(Navigation_Raw!B14&lt;&gt;"",Navigation_Raw!C14,"")</x:f>
      </x:c>
      <x:c r="D16" s="12" t="str">
        <x:f>IF(Navigation_Raw!B14&lt;&gt;"",Navigation_Raw!D14,"")</x:f>
      </x:c>
      <x:c r="E16" s="12" t="str">
        <x:f>IF(Navigation_Raw!B14&lt;&gt;"",Navigation_Raw!G14,"")</x:f>
      </x:c>
      <x:c r="F16" s="12" t="str">
        <x:f>IF(Navigation_Raw!B14&lt;&gt;"",Navigation_Raw!M14,"")</x:f>
      </x:c>
      <x:c r="G16" s="12" t="str">
        <x:f>IF(Navigation_Raw!B14&lt;&gt;"",Navigation_Raw!T14,"")</x:f>
      </x:c>
      <x:c r="H16" s="12" t="str">
        <x:f>IF(Navigation_Raw!B14&lt;&gt;"",Navigation_Raw!E14,"")</x:f>
      </x:c>
      <x:c r="I16" s="12" t="str">
        <x:f>IF(Navigation_Raw!B14&lt;&gt;"",Navigation_Raw!O14,"")</x:f>
      </x:c>
      <x:c r="J16" s="12" t="str">
        <x:f>IF(Navigation_Raw!B14&lt;&gt;"",Navigation_Raw!R14,"")</x:f>
      </x:c>
      <x:c r="K16" s="12" t="str">
        <x:f>IF(Navigation_Raw!B14&lt;&gt;"",Navigation_Raw!U14,"")</x:f>
      </x:c>
      <x:c r="L16" s="12" t="str">
        <x:f>IF(Navigation_Raw!B14&lt;&gt;"",Navigation_Raw!V14,"")</x:f>
      </x:c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>
        <x:f>IF(Navigation_Raw!B15&lt;&gt;"",14,"")</x:f>
      </x:c>
      <x:c r="B17" s="12" t="str">
        <x:f>IF(Navigation_Raw!B15&lt;&gt;"",Navigation_Raw!B15,"")</x:f>
      </x:c>
      <x:c r="C17" s="12" t="str">
        <x:f>IF(Navigation_Raw!B15&lt;&gt;"",Navigation_Raw!C15,"")</x:f>
      </x:c>
      <x:c r="D17" s="12" t="str">
        <x:f>IF(Navigation_Raw!B15&lt;&gt;"",Navigation_Raw!D15,"")</x:f>
      </x:c>
      <x:c r="E17" s="12" t="str">
        <x:f>IF(Navigation_Raw!B15&lt;&gt;"",Navigation_Raw!G15,"")</x:f>
      </x:c>
      <x:c r="F17" s="12" t="str">
        <x:f>IF(Navigation_Raw!B15&lt;&gt;"",Navigation_Raw!M15,"")</x:f>
      </x:c>
      <x:c r="G17" s="12" t="str">
        <x:f>IF(Navigation_Raw!B15&lt;&gt;"",Navigation_Raw!T15,"")</x:f>
      </x:c>
      <x:c r="H17" s="12" t="str">
        <x:f>IF(Navigation_Raw!B15&lt;&gt;"",Navigation_Raw!E15,"")</x:f>
      </x:c>
      <x:c r="I17" s="12" t="str">
        <x:f>IF(Navigation_Raw!B15&lt;&gt;"",Navigation_Raw!O15,"")</x:f>
      </x:c>
      <x:c r="J17" s="12" t="str">
        <x:f>IF(Navigation_Raw!B15&lt;&gt;"",Navigation_Raw!R15,"")</x:f>
      </x:c>
      <x:c r="K17" s="12" t="str">
        <x:f>IF(Navigation_Raw!B15&lt;&gt;"",Navigation_Raw!U15,"")</x:f>
      </x:c>
      <x:c r="L17" s="12" t="str">
        <x:f>IF(Navigation_Raw!B15&lt;&gt;"",Navigation_Raw!V15,"")</x:f>
      </x:c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>
        <x:f>IF(Navigation_Raw!B16&lt;&gt;"",15,"")</x:f>
      </x:c>
      <x:c r="B18" s="12" t="str">
        <x:f>IF(Navigation_Raw!B16&lt;&gt;"",Navigation_Raw!B16,"")</x:f>
      </x:c>
      <x:c r="C18" s="12" t="str">
        <x:f>IF(Navigation_Raw!B16&lt;&gt;"",Navigation_Raw!C16,"")</x:f>
      </x:c>
      <x:c r="D18" s="12" t="str">
        <x:f>IF(Navigation_Raw!B16&lt;&gt;"",Navigation_Raw!D16,"")</x:f>
      </x:c>
      <x:c r="E18" s="12" t="str">
        <x:f>IF(Navigation_Raw!B16&lt;&gt;"",Navigation_Raw!G16,"")</x:f>
      </x:c>
      <x:c r="F18" s="12" t="str">
        <x:f>IF(Navigation_Raw!B16&lt;&gt;"",Navigation_Raw!M16,"")</x:f>
      </x:c>
      <x:c r="G18" s="12" t="str">
        <x:f>IF(Navigation_Raw!B16&lt;&gt;"",Navigation_Raw!T16,"")</x:f>
      </x:c>
      <x:c r="H18" s="12" t="str">
        <x:f>IF(Navigation_Raw!B16&lt;&gt;"",Navigation_Raw!E16,"")</x:f>
      </x:c>
      <x:c r="I18" s="12" t="str">
        <x:f>IF(Navigation_Raw!B16&lt;&gt;"",Navigation_Raw!O16,"")</x:f>
      </x:c>
      <x:c r="J18" s="12" t="str">
        <x:f>IF(Navigation_Raw!B16&lt;&gt;"",Navigation_Raw!R16,"")</x:f>
      </x:c>
      <x:c r="K18" s="12" t="str">
        <x:f>IF(Navigation_Raw!B16&lt;&gt;"",Navigation_Raw!U16,"")</x:f>
      </x:c>
      <x:c r="L18" s="12" t="str">
        <x:f>IF(Navigation_Raw!B16&lt;&gt;"",Navigation_Raw!V16,"")</x:f>
      </x:c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>
        <x:f>IF(Navigation_Raw!B17&lt;&gt;"",16,"")</x:f>
      </x:c>
      <x:c r="B19" s="12" t="str">
        <x:f>IF(Navigation_Raw!B17&lt;&gt;"",Navigation_Raw!B17,"")</x:f>
      </x:c>
      <x:c r="C19" s="12" t="str">
        <x:f>IF(Navigation_Raw!B17&lt;&gt;"",Navigation_Raw!C17,"")</x:f>
      </x:c>
      <x:c r="D19" s="12" t="str">
        <x:f>IF(Navigation_Raw!B17&lt;&gt;"",Navigation_Raw!D17,"")</x:f>
      </x:c>
      <x:c r="E19" s="12" t="str">
        <x:f>IF(Navigation_Raw!B17&lt;&gt;"",Navigation_Raw!G17,"")</x:f>
      </x:c>
      <x:c r="F19" s="12" t="str">
        <x:f>IF(Navigation_Raw!B17&lt;&gt;"",Navigation_Raw!M17,"")</x:f>
      </x:c>
      <x:c r="G19" s="12" t="str">
        <x:f>IF(Navigation_Raw!B17&lt;&gt;"",Navigation_Raw!T17,"")</x:f>
      </x:c>
      <x:c r="H19" s="12" t="str">
        <x:f>IF(Navigation_Raw!B17&lt;&gt;"",Navigation_Raw!E17,"")</x:f>
      </x:c>
      <x:c r="I19" s="12" t="str">
        <x:f>IF(Navigation_Raw!B17&lt;&gt;"",Navigation_Raw!O17,"")</x:f>
      </x:c>
      <x:c r="J19" s="12" t="str">
        <x:f>IF(Navigation_Raw!B17&lt;&gt;"",Navigation_Raw!R17,"")</x:f>
      </x:c>
      <x:c r="K19" s="12" t="str">
        <x:f>IF(Navigation_Raw!B17&lt;&gt;"",Navigation_Raw!U17,"")</x:f>
      </x:c>
      <x:c r="L19" s="12" t="str">
        <x:f>IF(Navigation_Raw!B17&lt;&gt;"",Navigation_Raw!V17,"")</x:f>
      </x:c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>
        <x:f>IF(Navigation_Raw!B18&lt;&gt;"",17,"")</x:f>
      </x:c>
      <x:c r="B20" s="12" t="str">
        <x:f>IF(Navigation_Raw!B18&lt;&gt;"",Navigation_Raw!B18,"")</x:f>
      </x:c>
      <x:c r="C20" s="12" t="str">
        <x:f>IF(Navigation_Raw!B18&lt;&gt;"",Navigation_Raw!C18,"")</x:f>
      </x:c>
      <x:c r="D20" s="12" t="str">
        <x:f>IF(Navigation_Raw!B18&lt;&gt;"",Navigation_Raw!D18,"")</x:f>
      </x:c>
      <x:c r="E20" s="12" t="str">
        <x:f>IF(Navigation_Raw!B18&lt;&gt;"",Navigation_Raw!G18,"")</x:f>
      </x:c>
      <x:c r="F20" s="12" t="str">
        <x:f>IF(Navigation_Raw!B18&lt;&gt;"",Navigation_Raw!M18,"")</x:f>
      </x:c>
      <x:c r="G20" s="12" t="str">
        <x:f>IF(Navigation_Raw!B18&lt;&gt;"",Navigation_Raw!T18,"")</x:f>
      </x:c>
      <x:c r="H20" s="12" t="str">
        <x:f>IF(Navigation_Raw!B18&lt;&gt;"",Navigation_Raw!E18,"")</x:f>
      </x:c>
      <x:c r="I20" s="12" t="str">
        <x:f>IF(Navigation_Raw!B18&lt;&gt;"",Navigation_Raw!O18,"")</x:f>
      </x:c>
      <x:c r="J20" s="12" t="str">
        <x:f>IF(Navigation_Raw!B18&lt;&gt;"",Navigation_Raw!R18,"")</x:f>
      </x:c>
      <x:c r="K20" s="12" t="str">
        <x:f>IF(Navigation_Raw!B18&lt;&gt;"",Navigation_Raw!U18,"")</x:f>
      </x:c>
      <x:c r="L20" s="12" t="str">
        <x:f>IF(Navigation_Raw!B18&lt;&gt;"",Navigation_Raw!V18,"")</x:f>
      </x:c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 t="str">
        <x:f>IF(Navigation_Raw!B19&lt;&gt;"",18,"")</x:f>
      </x:c>
      <x:c r="B21" s="12" t="str">
        <x:f>IF(Navigation_Raw!B19&lt;&gt;"",Navigation_Raw!B19,"")</x:f>
      </x:c>
      <x:c r="C21" s="12" t="str">
        <x:f>IF(Navigation_Raw!B19&lt;&gt;"",Navigation_Raw!C19,"")</x:f>
      </x:c>
      <x:c r="D21" s="12" t="str">
        <x:f>IF(Navigation_Raw!B19&lt;&gt;"",Navigation_Raw!D19,"")</x:f>
      </x:c>
      <x:c r="E21" s="12" t="str">
        <x:f>IF(Navigation_Raw!B19&lt;&gt;"",Navigation_Raw!G19,"")</x:f>
      </x:c>
      <x:c r="F21" s="12" t="str">
        <x:f>IF(Navigation_Raw!B19&lt;&gt;"",Navigation_Raw!M19,"")</x:f>
      </x:c>
      <x:c r="G21" s="12" t="str">
        <x:f>IF(Navigation_Raw!B19&lt;&gt;"",Navigation_Raw!T19,"")</x:f>
      </x:c>
      <x:c r="H21" s="12" t="str">
        <x:f>IF(Navigation_Raw!B19&lt;&gt;"",Navigation_Raw!E19,"")</x:f>
      </x:c>
      <x:c r="I21" s="12" t="str">
        <x:f>IF(Navigation_Raw!B19&lt;&gt;"",Navigation_Raw!O19,"")</x:f>
      </x:c>
      <x:c r="J21" s="12" t="str">
        <x:f>IF(Navigation_Raw!B19&lt;&gt;"",Navigation_Raw!R19,"")</x:f>
      </x:c>
      <x:c r="K21" s="12" t="str">
        <x:f>IF(Navigation_Raw!B19&lt;&gt;"",Navigation_Raw!U19,"")</x:f>
      </x:c>
      <x:c r="L21" s="12" t="str">
        <x:f>IF(Navigation_Raw!B19&lt;&gt;"",Navigation_Raw!V19,"")</x:f>
      </x:c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 t="str">
        <x:f>IF(Navigation_Raw!B20&lt;&gt;"",19,"")</x:f>
      </x:c>
      <x:c r="B22" s="12" t="str">
        <x:f>IF(Navigation_Raw!B20&lt;&gt;"",Navigation_Raw!B20,"")</x:f>
      </x:c>
      <x:c r="C22" s="12" t="str">
        <x:f>IF(Navigation_Raw!B20&lt;&gt;"",Navigation_Raw!C20,"")</x:f>
      </x:c>
      <x:c r="D22" s="12" t="str">
        <x:f>IF(Navigation_Raw!B20&lt;&gt;"",Navigation_Raw!D20,"")</x:f>
      </x:c>
      <x:c r="E22" s="12" t="str">
        <x:f>IF(Navigation_Raw!B20&lt;&gt;"",Navigation_Raw!G20,"")</x:f>
      </x:c>
      <x:c r="F22" s="12" t="str">
        <x:f>IF(Navigation_Raw!B20&lt;&gt;"",Navigation_Raw!M20,"")</x:f>
      </x:c>
      <x:c r="G22" s="12" t="str">
        <x:f>IF(Navigation_Raw!B20&lt;&gt;"",Navigation_Raw!T20,"")</x:f>
      </x:c>
      <x:c r="H22" s="12" t="str">
        <x:f>IF(Navigation_Raw!B20&lt;&gt;"",Navigation_Raw!E20,"")</x:f>
      </x:c>
      <x:c r="I22" s="12" t="str">
        <x:f>IF(Navigation_Raw!B20&lt;&gt;"",Navigation_Raw!O20,"")</x:f>
      </x:c>
      <x:c r="J22" s="12" t="str">
        <x:f>IF(Navigation_Raw!B20&lt;&gt;"",Navigation_Raw!R20,"")</x:f>
      </x:c>
      <x:c r="K22" s="12" t="str">
        <x:f>IF(Navigation_Raw!B20&lt;&gt;"",Navigation_Raw!U20,"")</x:f>
      </x:c>
      <x:c r="L22" s="12" t="str">
        <x:f>IF(Navigation_Raw!B20&lt;&gt;"",Navigation_Raw!V20,"")</x:f>
      </x:c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 t="str">
        <x:f>IF(Navigation_Raw!B21&lt;&gt;"",20,"")</x:f>
      </x:c>
      <x:c r="B23" s="12" t="str">
        <x:f>IF(Navigation_Raw!B21&lt;&gt;"",Navigation_Raw!B21,"")</x:f>
      </x:c>
      <x:c r="C23" s="12" t="str">
        <x:f>IF(Navigation_Raw!B21&lt;&gt;"",Navigation_Raw!C21,"")</x:f>
      </x:c>
      <x:c r="D23" s="12" t="str">
        <x:f>IF(Navigation_Raw!B21&lt;&gt;"",Navigation_Raw!D21,"")</x:f>
      </x:c>
      <x:c r="E23" s="12" t="str">
        <x:f>IF(Navigation_Raw!B21&lt;&gt;"",Navigation_Raw!G21,"")</x:f>
      </x:c>
      <x:c r="F23" s="12" t="str">
        <x:f>IF(Navigation_Raw!B21&lt;&gt;"",Navigation_Raw!M21,"")</x:f>
      </x:c>
      <x:c r="G23" s="12" t="str">
        <x:f>IF(Navigation_Raw!B21&lt;&gt;"",Navigation_Raw!T21,"")</x:f>
      </x:c>
      <x:c r="H23" s="12" t="str">
        <x:f>IF(Navigation_Raw!B21&lt;&gt;"",Navigation_Raw!E21,"")</x:f>
      </x:c>
      <x:c r="I23" s="12" t="str">
        <x:f>IF(Navigation_Raw!B21&lt;&gt;"",Navigation_Raw!O21,"")</x:f>
      </x:c>
      <x:c r="J23" s="12" t="str">
        <x:f>IF(Navigation_Raw!B21&lt;&gt;"",Navigation_Raw!R21,"")</x:f>
      </x:c>
      <x:c r="K23" s="12" t="str">
        <x:f>IF(Navigation_Raw!B21&lt;&gt;"",Navigation_Raw!U21,"")</x:f>
      </x:c>
      <x:c r="L23" s="12" t="str">
        <x:f>IF(Navigation_Raw!B21&lt;&gt;"",Navigation_Raw!V21,"")</x:f>
      </x:c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 t="str">
        <x:f>IF(Navigation_Raw!B22&lt;&gt;"",21,"")</x:f>
      </x:c>
      <x:c r="B24" s="12" t="str">
        <x:f>IF(Navigation_Raw!B22&lt;&gt;"",Navigation_Raw!B22,"")</x:f>
      </x:c>
      <x:c r="C24" s="12" t="str">
        <x:f>IF(Navigation_Raw!B22&lt;&gt;"",Navigation_Raw!C22,"")</x:f>
      </x:c>
      <x:c r="D24" s="12" t="str">
        <x:f>IF(Navigation_Raw!B22&lt;&gt;"",Navigation_Raw!D22,"")</x:f>
      </x:c>
      <x:c r="E24" s="12" t="str">
        <x:f>IF(Navigation_Raw!B22&lt;&gt;"",Navigation_Raw!G22,"")</x:f>
      </x:c>
      <x:c r="F24" s="12" t="str">
        <x:f>IF(Navigation_Raw!B22&lt;&gt;"",Navigation_Raw!M22,"")</x:f>
      </x:c>
      <x:c r="G24" s="12" t="str">
        <x:f>IF(Navigation_Raw!B22&lt;&gt;"",Navigation_Raw!T22,"")</x:f>
      </x:c>
      <x:c r="H24" s="12" t="str">
        <x:f>IF(Navigation_Raw!B22&lt;&gt;"",Navigation_Raw!E22,"")</x:f>
      </x:c>
      <x:c r="I24" s="12" t="str">
        <x:f>IF(Navigation_Raw!B22&lt;&gt;"",Navigation_Raw!O22,"")</x:f>
      </x:c>
      <x:c r="J24" s="12" t="str">
        <x:f>IF(Navigation_Raw!B22&lt;&gt;"",Navigation_Raw!R22,"")</x:f>
      </x:c>
      <x:c r="K24" s="12" t="str">
        <x:f>IF(Navigation_Raw!B22&lt;&gt;"",Navigation_Raw!U22,"")</x:f>
      </x:c>
      <x:c r="L24" s="12" t="str">
        <x:f>IF(Navigation_Raw!B22&lt;&gt;"",Navigation_Raw!V22,"")</x:f>
      </x:c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 t="str">
        <x:f>IF(Navigation_Raw!B23&lt;&gt;"",22,"")</x:f>
      </x:c>
      <x:c r="B25" s="12" t="str">
        <x:f>IF(Navigation_Raw!B23&lt;&gt;"",Navigation_Raw!B23,"")</x:f>
      </x:c>
      <x:c r="C25" s="12" t="str">
        <x:f>IF(Navigation_Raw!B23&lt;&gt;"",Navigation_Raw!C23,"")</x:f>
      </x:c>
      <x:c r="D25" s="12" t="str">
        <x:f>IF(Navigation_Raw!B23&lt;&gt;"",Navigation_Raw!D23,"")</x:f>
      </x:c>
      <x:c r="E25" s="12" t="str">
        <x:f>IF(Navigation_Raw!B23&lt;&gt;"",Navigation_Raw!G23,"")</x:f>
      </x:c>
      <x:c r="F25" s="12" t="str">
        <x:f>IF(Navigation_Raw!B23&lt;&gt;"",Navigation_Raw!M23,"")</x:f>
      </x:c>
      <x:c r="G25" s="12" t="str">
        <x:f>IF(Navigation_Raw!B23&lt;&gt;"",Navigation_Raw!T23,"")</x:f>
      </x:c>
      <x:c r="H25" s="12" t="str">
        <x:f>IF(Navigation_Raw!B23&lt;&gt;"",Navigation_Raw!E23,"")</x:f>
      </x:c>
      <x:c r="I25" s="12" t="str">
        <x:f>IF(Navigation_Raw!B23&lt;&gt;"",Navigation_Raw!O23,"")</x:f>
      </x:c>
      <x:c r="J25" s="12" t="str">
        <x:f>IF(Navigation_Raw!B23&lt;&gt;"",Navigation_Raw!R23,"")</x:f>
      </x:c>
      <x:c r="K25" s="12" t="str">
        <x:f>IF(Navigation_Raw!B23&lt;&gt;"",Navigation_Raw!U23,"")</x:f>
      </x:c>
      <x:c r="L25" s="12" t="str">
        <x:f>IF(Navigation_Raw!B23&lt;&gt;"",Navigation_Raw!V23,"")</x:f>
      </x:c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 t="str">
        <x:f>IF(Navigation_Raw!B24&lt;&gt;"",23,"")</x:f>
      </x:c>
      <x:c r="B26" s="12" t="str">
        <x:f>IF(Navigation_Raw!B24&lt;&gt;"",Navigation_Raw!B24,"")</x:f>
      </x:c>
      <x:c r="C26" s="12" t="str">
        <x:f>IF(Navigation_Raw!B24&lt;&gt;"",Navigation_Raw!C24,"")</x:f>
      </x:c>
      <x:c r="D26" s="12" t="str">
        <x:f>IF(Navigation_Raw!B24&lt;&gt;"",Navigation_Raw!D24,"")</x:f>
      </x:c>
      <x:c r="E26" s="12" t="str">
        <x:f>IF(Navigation_Raw!B24&lt;&gt;"",Navigation_Raw!G24,"")</x:f>
      </x:c>
      <x:c r="F26" s="12" t="str">
        <x:f>IF(Navigation_Raw!B24&lt;&gt;"",Navigation_Raw!M24,"")</x:f>
      </x:c>
      <x:c r="G26" s="12" t="str">
        <x:f>IF(Navigation_Raw!B24&lt;&gt;"",Navigation_Raw!T24,"")</x:f>
      </x:c>
      <x:c r="H26" s="12" t="str">
        <x:f>IF(Navigation_Raw!B24&lt;&gt;"",Navigation_Raw!E24,"")</x:f>
      </x:c>
      <x:c r="I26" s="12" t="str">
        <x:f>IF(Navigation_Raw!B24&lt;&gt;"",Navigation_Raw!O24,"")</x:f>
      </x:c>
      <x:c r="J26" s="12" t="str">
        <x:f>IF(Navigation_Raw!B24&lt;&gt;"",Navigation_Raw!R24,"")</x:f>
      </x:c>
      <x:c r="K26" s="12" t="str">
        <x:f>IF(Navigation_Raw!B24&lt;&gt;"",Navigation_Raw!U24,"")</x:f>
      </x:c>
      <x:c r="L26" s="12" t="str">
        <x:f>IF(Navigation_Raw!B24&lt;&gt;"",Navigation_Raw!V24,"")</x:f>
      </x:c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 t="str">
        <x:f>IF(Navigation_Raw!B25&lt;&gt;"",24,"")</x:f>
      </x:c>
      <x:c r="B27" s="12" t="str">
        <x:f>IF(Navigation_Raw!B25&lt;&gt;"",Navigation_Raw!B25,"")</x:f>
      </x:c>
      <x:c r="C27" s="12" t="str">
        <x:f>IF(Navigation_Raw!B25&lt;&gt;"",Navigation_Raw!C25,"")</x:f>
      </x:c>
      <x:c r="D27" s="12" t="str">
        <x:f>IF(Navigation_Raw!B25&lt;&gt;"",Navigation_Raw!D25,"")</x:f>
      </x:c>
      <x:c r="E27" s="12" t="str">
        <x:f>IF(Navigation_Raw!B25&lt;&gt;"",Navigation_Raw!G25,"")</x:f>
      </x:c>
      <x:c r="F27" s="12" t="str">
        <x:f>IF(Navigation_Raw!B25&lt;&gt;"",Navigation_Raw!M25,"")</x:f>
      </x:c>
      <x:c r="G27" s="12" t="str">
        <x:f>IF(Navigation_Raw!B25&lt;&gt;"",Navigation_Raw!T25,"")</x:f>
      </x:c>
      <x:c r="H27" s="12" t="str">
        <x:f>IF(Navigation_Raw!B25&lt;&gt;"",Navigation_Raw!E25,"")</x:f>
      </x:c>
      <x:c r="I27" s="12" t="str">
        <x:f>IF(Navigation_Raw!B25&lt;&gt;"",Navigation_Raw!O25,"")</x:f>
      </x:c>
      <x:c r="J27" s="12" t="str">
        <x:f>IF(Navigation_Raw!B25&lt;&gt;"",Navigation_Raw!R25,"")</x:f>
      </x:c>
      <x:c r="K27" s="12" t="str">
        <x:f>IF(Navigation_Raw!B25&lt;&gt;"",Navigation_Raw!U25,"")</x:f>
      </x:c>
      <x:c r="L27" s="12" t="str">
        <x:f>IF(Navigation_Raw!B25&lt;&gt;"",Navigation_Raw!V25,"")</x:f>
      </x:c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 t="str">
        <x:f>IF(Navigation_Raw!B26&lt;&gt;"",25,"")</x:f>
      </x:c>
      <x:c r="B28" s="12" t="str">
        <x:f>IF(Navigation_Raw!B26&lt;&gt;"",Navigation_Raw!B26,"")</x:f>
      </x:c>
      <x:c r="C28" s="12" t="str">
        <x:f>IF(Navigation_Raw!B26&lt;&gt;"",Navigation_Raw!C26,"")</x:f>
      </x:c>
      <x:c r="D28" s="12" t="str">
        <x:f>IF(Navigation_Raw!B26&lt;&gt;"",Navigation_Raw!D26,"")</x:f>
      </x:c>
      <x:c r="E28" s="12" t="str">
        <x:f>IF(Navigation_Raw!B26&lt;&gt;"",Navigation_Raw!G26,"")</x:f>
      </x:c>
      <x:c r="F28" s="12" t="str">
        <x:f>IF(Navigation_Raw!B26&lt;&gt;"",Navigation_Raw!M26,"")</x:f>
      </x:c>
      <x:c r="G28" s="12" t="str">
        <x:f>IF(Navigation_Raw!B26&lt;&gt;"",Navigation_Raw!T26,"")</x:f>
      </x:c>
      <x:c r="H28" s="12" t="str">
        <x:f>IF(Navigation_Raw!B26&lt;&gt;"",Navigation_Raw!E26,"")</x:f>
      </x:c>
      <x:c r="I28" s="12" t="str">
        <x:f>IF(Navigation_Raw!B26&lt;&gt;"",Navigation_Raw!O26,"")</x:f>
      </x:c>
      <x:c r="J28" s="12" t="str">
        <x:f>IF(Navigation_Raw!B26&lt;&gt;"",Navigation_Raw!R26,"")</x:f>
      </x:c>
      <x:c r="K28" s="12" t="str">
        <x:f>IF(Navigation_Raw!B26&lt;&gt;"",Navigation_Raw!U26,"")</x:f>
      </x:c>
      <x:c r="L28" s="12" t="str">
        <x:f>IF(Navigation_Raw!B26&lt;&gt;"",Navigation_Raw!V26,"")</x:f>
      </x:c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 t="str">
        <x:f>IF(Navigation_Raw!B27&lt;&gt;"",26,"")</x:f>
      </x:c>
      <x:c r="B29" s="12" t="str">
        <x:f>IF(Navigation_Raw!B27&lt;&gt;"",Navigation_Raw!B27,"")</x:f>
      </x:c>
      <x:c r="C29" s="12" t="str">
        <x:f>IF(Navigation_Raw!B27&lt;&gt;"",Navigation_Raw!C27,"")</x:f>
      </x:c>
      <x:c r="D29" s="12" t="str">
        <x:f>IF(Navigation_Raw!B27&lt;&gt;"",Navigation_Raw!D27,"")</x:f>
      </x:c>
      <x:c r="E29" s="12" t="str">
        <x:f>IF(Navigation_Raw!B27&lt;&gt;"",Navigation_Raw!G27,"")</x:f>
      </x:c>
      <x:c r="F29" s="12" t="str">
        <x:f>IF(Navigation_Raw!B27&lt;&gt;"",Navigation_Raw!M27,"")</x:f>
      </x:c>
      <x:c r="G29" s="12" t="str">
        <x:f>IF(Navigation_Raw!B27&lt;&gt;"",Navigation_Raw!T27,"")</x:f>
      </x:c>
      <x:c r="H29" s="12" t="str">
        <x:f>IF(Navigation_Raw!B27&lt;&gt;"",Navigation_Raw!E27,"")</x:f>
      </x:c>
      <x:c r="I29" s="12" t="str">
        <x:f>IF(Navigation_Raw!B27&lt;&gt;"",Navigation_Raw!O27,"")</x:f>
      </x:c>
      <x:c r="J29" s="12" t="str">
        <x:f>IF(Navigation_Raw!B27&lt;&gt;"",Navigation_Raw!R27,"")</x:f>
      </x:c>
      <x:c r="K29" s="12" t="str">
        <x:f>IF(Navigation_Raw!B27&lt;&gt;"",Navigation_Raw!U27,"")</x:f>
      </x:c>
      <x:c r="L29" s="12" t="str">
        <x:f>IF(Navigation_Raw!B27&lt;&gt;"",Navigation_Raw!V27,"")</x:f>
      </x:c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 t="str">
        <x:f>IF(Navigation_Raw!B28&lt;&gt;"",27,"")</x:f>
      </x:c>
      <x:c r="B30" s="12" t="str">
        <x:f>IF(Navigation_Raw!B28&lt;&gt;"",Navigation_Raw!B28,"")</x:f>
      </x:c>
      <x:c r="C30" s="12" t="str">
        <x:f>IF(Navigation_Raw!B28&lt;&gt;"",Navigation_Raw!C28,"")</x:f>
      </x:c>
      <x:c r="D30" s="12" t="str">
        <x:f>IF(Navigation_Raw!B28&lt;&gt;"",Navigation_Raw!D28,"")</x:f>
      </x:c>
      <x:c r="E30" s="12" t="str">
        <x:f>IF(Navigation_Raw!B28&lt;&gt;"",Navigation_Raw!G28,"")</x:f>
      </x:c>
      <x:c r="F30" s="12" t="str">
        <x:f>IF(Navigation_Raw!B28&lt;&gt;"",Navigation_Raw!M28,"")</x:f>
      </x:c>
      <x:c r="G30" s="12" t="str">
        <x:f>IF(Navigation_Raw!B28&lt;&gt;"",Navigation_Raw!T28,"")</x:f>
      </x:c>
      <x:c r="H30" s="12" t="str">
        <x:f>IF(Navigation_Raw!B28&lt;&gt;"",Navigation_Raw!E28,"")</x:f>
      </x:c>
      <x:c r="I30" s="12" t="str">
        <x:f>IF(Navigation_Raw!B28&lt;&gt;"",Navigation_Raw!O28,"")</x:f>
      </x:c>
      <x:c r="J30" s="12" t="str">
        <x:f>IF(Navigation_Raw!B28&lt;&gt;"",Navigation_Raw!R28,"")</x:f>
      </x:c>
      <x:c r="K30" s="12" t="str">
        <x:f>IF(Navigation_Raw!B28&lt;&gt;"",Navigation_Raw!U28,"")</x:f>
      </x:c>
      <x:c r="L30" s="12" t="str">
        <x:f>IF(Navigation_Raw!B28&lt;&gt;"",Navigation_Raw!V28,"")</x:f>
      </x:c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 t="str">
        <x:f>IF(Navigation_Raw!B29&lt;&gt;"",28,"")</x:f>
      </x:c>
      <x:c r="B31" s="12" t="str">
        <x:f>IF(Navigation_Raw!B29&lt;&gt;"",Navigation_Raw!B29,"")</x:f>
      </x:c>
      <x:c r="C31" s="12" t="str">
        <x:f>IF(Navigation_Raw!B29&lt;&gt;"",Navigation_Raw!C29,"")</x:f>
      </x:c>
      <x:c r="D31" s="12" t="str">
        <x:f>IF(Navigation_Raw!B29&lt;&gt;"",Navigation_Raw!D29,"")</x:f>
      </x:c>
      <x:c r="E31" s="12" t="str">
        <x:f>IF(Navigation_Raw!B29&lt;&gt;"",Navigation_Raw!G29,"")</x:f>
      </x:c>
      <x:c r="F31" s="12" t="str">
        <x:f>IF(Navigation_Raw!B29&lt;&gt;"",Navigation_Raw!M29,"")</x:f>
      </x:c>
      <x:c r="G31" s="12" t="str">
        <x:f>IF(Navigation_Raw!B29&lt;&gt;"",Navigation_Raw!T29,"")</x:f>
      </x:c>
      <x:c r="H31" s="12" t="str">
        <x:f>IF(Navigation_Raw!B29&lt;&gt;"",Navigation_Raw!E29,"")</x:f>
      </x:c>
      <x:c r="I31" s="12" t="str">
        <x:f>IF(Navigation_Raw!B29&lt;&gt;"",Navigation_Raw!O29,"")</x:f>
      </x:c>
      <x:c r="J31" s="12" t="str">
        <x:f>IF(Navigation_Raw!B29&lt;&gt;"",Navigation_Raw!R29,"")</x:f>
      </x:c>
      <x:c r="K31" s="12" t="str">
        <x:f>IF(Navigation_Raw!B29&lt;&gt;"",Navigation_Raw!U29,"")</x:f>
      </x:c>
      <x:c r="L31" s="12" t="str">
        <x:f>IF(Navigation_Raw!B29&lt;&gt;"",Navigation_Raw!V29,"")</x:f>
      </x:c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 t="str">
        <x:f>IF(Navigation_Raw!B30&lt;&gt;"",29,"")</x:f>
      </x:c>
      <x:c r="B32" s="12" t="str">
        <x:f>IF(Navigation_Raw!B30&lt;&gt;"",Navigation_Raw!B30,"")</x:f>
      </x:c>
      <x:c r="C32" s="12" t="str">
        <x:f>IF(Navigation_Raw!B30&lt;&gt;"",Navigation_Raw!C30,"")</x:f>
      </x:c>
      <x:c r="D32" s="12" t="str">
        <x:f>IF(Navigation_Raw!B30&lt;&gt;"",Navigation_Raw!D30,"")</x:f>
      </x:c>
      <x:c r="E32" s="12" t="str">
        <x:f>IF(Navigation_Raw!B30&lt;&gt;"",Navigation_Raw!G30,"")</x:f>
      </x:c>
      <x:c r="F32" s="12" t="str">
        <x:f>IF(Navigation_Raw!B30&lt;&gt;"",Navigation_Raw!M30,"")</x:f>
      </x:c>
      <x:c r="G32" s="12" t="str">
        <x:f>IF(Navigation_Raw!B30&lt;&gt;"",Navigation_Raw!T30,"")</x:f>
      </x:c>
      <x:c r="H32" s="12" t="str">
        <x:f>IF(Navigation_Raw!B30&lt;&gt;"",Navigation_Raw!E30,"")</x:f>
      </x:c>
      <x:c r="I32" s="12" t="str">
        <x:f>IF(Navigation_Raw!B30&lt;&gt;"",Navigation_Raw!O30,"")</x:f>
      </x:c>
      <x:c r="J32" s="12" t="str">
        <x:f>IF(Navigation_Raw!B30&lt;&gt;"",Navigation_Raw!R30,"")</x:f>
      </x:c>
      <x:c r="K32" s="12" t="str">
        <x:f>IF(Navigation_Raw!B30&lt;&gt;"",Navigation_Raw!U30,"")</x:f>
      </x:c>
      <x:c r="L32" s="12" t="str">
        <x:f>IF(Navigation_Raw!B30&lt;&gt;"",Navigation_Raw!V30,"")</x:f>
      </x:c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 t="str">
        <x:f>IF(Navigation_Raw!B31&lt;&gt;"",30,"")</x:f>
      </x:c>
      <x:c r="B33" s="12" t="str">
        <x:f>IF(Navigation_Raw!B31&lt;&gt;"",Navigation_Raw!B31,"")</x:f>
      </x:c>
      <x:c r="C33" s="12" t="str">
        <x:f>IF(Navigation_Raw!B31&lt;&gt;"",Navigation_Raw!C31,"")</x:f>
      </x:c>
      <x:c r="D33" s="12" t="str">
        <x:f>IF(Navigation_Raw!B31&lt;&gt;"",Navigation_Raw!D31,"")</x:f>
      </x:c>
      <x:c r="E33" s="12" t="str">
        <x:f>IF(Navigation_Raw!B31&lt;&gt;"",Navigation_Raw!G31,"")</x:f>
      </x:c>
      <x:c r="F33" s="12" t="str">
        <x:f>IF(Navigation_Raw!B31&lt;&gt;"",Navigation_Raw!M31,"")</x:f>
      </x:c>
      <x:c r="G33" s="12" t="str">
        <x:f>IF(Navigation_Raw!B31&lt;&gt;"",Navigation_Raw!T31,"")</x:f>
      </x:c>
      <x:c r="H33" s="12" t="str">
        <x:f>IF(Navigation_Raw!B31&lt;&gt;"",Navigation_Raw!E31,"")</x:f>
      </x:c>
      <x:c r="I33" s="12" t="str">
        <x:f>IF(Navigation_Raw!B31&lt;&gt;"",Navigation_Raw!O31,"")</x:f>
      </x:c>
      <x:c r="J33" s="12" t="str">
        <x:f>IF(Navigation_Raw!B31&lt;&gt;"",Navigation_Raw!R31,"")</x:f>
      </x:c>
      <x:c r="K33" s="12" t="str">
        <x:f>IF(Navigation_Raw!B31&lt;&gt;"",Navigation_Raw!U31,"")</x:f>
      </x:c>
      <x:c r="L33" s="12" t="str">
        <x:f>IF(Navigation_Raw!B31&lt;&gt;"",Navigation_Raw!V31,"")</x:f>
      </x:c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26" t="str">
        <x:v>Ringkasan</x:v>
      </x:c>
      <x:c r="B36" s="26" t="str">
        <x:v>Nilai</x:v>
      </x:c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 t="str">
        <x:v>Jumlah Trial</x:v>
      </x:c>
      <x:c r="B37" s="12" t="n">
        <x:f>COUNT(Navigation_Raw!B2:B31)</x:f>
        <x:v>0</x:v>
      </x:c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 t="str">
        <x:v>Trial Path Muncul</x:v>
      </x:c>
      <x:c r="B38" s="12" t="n">
        <x:f>COUNTIF(Navigation_Raw!G2:G31,"YA")</x:f>
        <x:v>0</x:v>
      </x:c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 t="str">
        <x:v>Trial Cmd Vel Aktif</x:v>
      </x:c>
      <x:c r="B39" s="12" t="n">
        <x:f>COUNTIF(Navigation_Raw!M2:M31,"YA")</x:f>
        <x:v>0</x:v>
      </x:c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 t="str">
        <x:v>Trial Robot Bergerak</x:v>
      </x:c>
      <x:c r="B40" s="12" t="n">
        <x:f>COUNTIF(Navigation_Raw!T2:T31,"YA")</x:f>
        <x:v>0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 t="str">
        <x:v>Rata-rata Displacement (m)</x:v>
      </x:c>
      <x:c r="B41" s="12" t="n">
        <x:f>IFERROR(AVERAGE(Navigation_Raw!R2:R31),0)</x:f>
        <x:v>0</x:v>
      </x:c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dcf673a67a3241b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880000114440918" hidden="0" customWidth="1"/>
    <x:col min="3" max="3" width="7.630000114440918" hidden="0" customWidth="1"/>
    <x:col min="4" max="4" width="11.75" hidden="0" customWidth="1"/>
    <x:col min="5" max="5" width="70" hidden="0" customWidth="1"/>
    <x:col min="6" max="6" width="7.25" hidden="0" customWidth="1"/>
  </x:cols>
  <x:sheetData>
    <x:row r="1">
      <x:c r="A1" s="26" t="str">
        <x:v>timestamp</x:v>
      </x:c>
      <x:c r="B1" s="26" t="str">
        <x:v>topic</x:v>
      </x:c>
      <x:c r="C1" s="26" t="str">
        <x:v>fungsi</x:v>
      </x:c>
      <x:c r="D1" s="26" t="str">
        <x:v>type_result</x:v>
      </x:c>
      <x:c r="E1" s="26" t="str">
        <x:v>hz_result</x:v>
      </x:c>
      <x:c r="F1" s="26" t="str">
        <x:v>notes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/>
      <x:c r="B2" s="12" t="str"/>
      <x:c r="C2" s="12" t="str"/>
      <x:c r="D2" s="12" t="str"/>
      <x:c r="E2" s="12" t="str"/>
      <x:c r="F2" s="12" t="str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/>
      <x:c r="B3" s="12" t="str"/>
      <x:c r="C3" s="12" t="str"/>
      <x:c r="D3" s="12" t="str"/>
      <x:c r="E3" s="12" t="str"/>
      <x:c r="F3" s="12" t="str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/>
      <x:c r="B4" s="12" t="str"/>
      <x:c r="C4" s="12" t="str"/>
      <x:c r="D4" s="12" t="str"/>
      <x:c r="E4" s="12" t="str"/>
      <x:c r="F4" s="12" t="str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/>
      <x:c r="B5" s="12" t="str"/>
      <x:c r="C5" s="12" t="str"/>
      <x:c r="D5" s="12" t="str"/>
      <x:c r="E5" s="12" t="str"/>
      <x:c r="F5" s="12" t="str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/>
      <x:c r="B6" s="12" t="str"/>
      <x:c r="C6" s="12" t="str"/>
      <x:c r="D6" s="12" t="str"/>
      <x:c r="E6" s="12" t="str"/>
      <x:c r="F6" s="12" t="str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/>
      <x:c r="B7" s="12" t="str"/>
      <x:c r="C7" s="12" t="str"/>
      <x:c r="D7" s="12" t="str"/>
      <x:c r="E7" s="12" t="str"/>
      <x:c r="F7" s="12" t="str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/>
      <x:c r="B8" s="12" t="str"/>
      <x:c r="C8" s="12" t="str"/>
      <x:c r="D8" s="12" t="str"/>
      <x:c r="E8" s="12" t="str"/>
      <x:c r="F8" s="12" t="str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/>
      <x:c r="B9" s="12" t="str"/>
      <x:c r="C9" s="12" t="str"/>
      <x:c r="D9" s="12" t="str"/>
      <x:c r="E9" s="12" t="str"/>
      <x:c r="F9" s="12" t="str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/>
      <x:c r="B10" s="12" t="str"/>
      <x:c r="C10" s="12" t="str"/>
      <x:c r="D10" s="12" t="str"/>
      <x:c r="E10" s="12" t="str"/>
      <x:c r="F10" s="12" t="str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/>
      <x:c r="B11" s="12" t="str"/>
      <x:c r="C11" s="12" t="str"/>
      <x:c r="D11" s="12" t="str"/>
      <x:c r="E11" s="12" t="str"/>
      <x:c r="F11" s="12" t="str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/>
      <x:c r="B12" s="12" t="str"/>
      <x:c r="C12" s="12" t="str"/>
      <x:c r="D12" s="12" t="str"/>
      <x:c r="E12" s="12" t="str"/>
      <x:c r="F12" s="12" t="str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/>
      <x:c r="B13" s="12" t="str"/>
      <x:c r="C13" s="12" t="str"/>
      <x:c r="D13" s="12" t="str"/>
      <x:c r="E13" s="12" t="str"/>
      <x:c r="F13" s="12" t="str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/>
      <x:c r="B14" s="12" t="str"/>
      <x:c r="C14" s="12" t="str"/>
      <x:c r="D14" s="12" t="str"/>
      <x:c r="E14" s="12" t="str"/>
      <x:c r="F14" s="12" t="str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 t="str"/>
      <x:c r="B15" s="12" t="str"/>
      <x:c r="C15" s="12" t="str"/>
      <x:c r="D15" s="12" t="str"/>
      <x:c r="E15" s="12" t="str"/>
      <x:c r="F15" s="12" t="str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/>
      <x:c r="B16" s="12" t="str"/>
      <x:c r="C16" s="12" t="str"/>
      <x:c r="D16" s="12" t="str"/>
      <x:c r="E16" s="12" t="str"/>
      <x:c r="F16" s="12" t="str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/>
      <x:c r="B17" s="12" t="str"/>
      <x:c r="C17" s="12" t="str"/>
      <x:c r="D17" s="12" t="str"/>
      <x:c r="E17" s="12" t="str"/>
      <x:c r="F17" s="12" t="str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/>
      <x:c r="B18" s="12" t="str"/>
      <x:c r="C18" s="12" t="str"/>
      <x:c r="D18" s="12" t="str"/>
      <x:c r="E18" s="12" t="str"/>
      <x:c r="F18" s="12" t="str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/>
      <x:c r="B19" s="12" t="str"/>
      <x:c r="C19" s="12" t="str"/>
      <x:c r="D19" s="12" t="str"/>
      <x:c r="E19" s="12" t="str"/>
      <x:c r="F19" s="12" t="str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/>
      <x:c r="B20" s="12" t="str"/>
      <x:c r="C20" s="12" t="str"/>
      <x:c r="D20" s="12" t="str"/>
      <x:c r="E20" s="12" t="str"/>
      <x:c r="F20" s="12" t="str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 t="str"/>
      <x:c r="B21" s="12" t="str"/>
      <x:c r="C21" s="12" t="str"/>
      <x:c r="D21" s="12" t="str"/>
      <x:c r="E21" s="12" t="str"/>
      <x:c r="F21" s="12" t="str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 t="str"/>
      <x:c r="B22" s="12" t="str"/>
      <x:c r="C22" s="12" t="str"/>
      <x:c r="D22" s="12" t="str"/>
      <x:c r="E22" s="12" t="str"/>
      <x:c r="F22" s="12" t="str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 t="str"/>
      <x:c r="B23" s="12" t="str"/>
      <x:c r="C23" s="12" t="str"/>
      <x:c r="D23" s="12" t="str"/>
      <x:c r="E23" s="12" t="str"/>
      <x:c r="F23" s="12" t="str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 t="str"/>
      <x:c r="B24" s="12" t="str"/>
      <x:c r="C24" s="12" t="str"/>
      <x:c r="D24" s="12" t="str"/>
      <x:c r="E24" s="12" t="str"/>
      <x:c r="F24" s="12" t="str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 t="str"/>
      <x:c r="B25" s="12" t="str"/>
      <x:c r="C25" s="12" t="str"/>
      <x:c r="D25" s="12" t="str"/>
      <x:c r="E25" s="12" t="str"/>
      <x:c r="F25" s="12" t="str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 t="str"/>
      <x:c r="B26" s="12" t="str"/>
      <x:c r="C26" s="12" t="str"/>
      <x:c r="D26" s="12" t="str"/>
      <x:c r="E26" s="12" t="str"/>
      <x:c r="F26" s="12" t="str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 t="str"/>
      <x:c r="B27" s="12" t="str"/>
      <x:c r="C27" s="12" t="str"/>
      <x:c r="D27" s="12" t="str"/>
      <x:c r="E27" s="12" t="str"/>
      <x:c r="F27" s="12" t="str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 t="str"/>
      <x:c r="B28" s="12" t="str"/>
      <x:c r="C28" s="12" t="str"/>
      <x:c r="D28" s="12" t="str"/>
      <x:c r="E28" s="12" t="str"/>
      <x:c r="F28" s="12" t="str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 t="str"/>
      <x:c r="B29" s="12" t="str"/>
      <x:c r="C29" s="12" t="str"/>
      <x:c r="D29" s="12" t="str"/>
      <x:c r="E29" s="12" t="str"/>
      <x:c r="F29" s="12" t="str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 t="str"/>
      <x:c r="B30" s="12" t="str"/>
      <x:c r="C30" s="12" t="str"/>
      <x:c r="D30" s="12" t="str"/>
      <x:c r="E30" s="12" t="str"/>
      <x:c r="F30" s="12" t="str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 t="str"/>
      <x:c r="B31" s="12" t="str"/>
      <x:c r="C31" s="12" t="str"/>
      <x:c r="D31" s="12" t="str"/>
      <x:c r="E31" s="12" t="str"/>
      <x:c r="F31" s="12" t="str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 t="str"/>
      <x:c r="B32" s="12" t="str"/>
      <x:c r="C32" s="12" t="str"/>
      <x:c r="D32" s="12" t="str"/>
      <x:c r="E32" s="12" t="str"/>
      <x:c r="F32" s="12" t="str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 t="str"/>
      <x:c r="B33" s="12" t="str"/>
      <x:c r="C33" s="12" t="str"/>
      <x:c r="D33" s="12" t="str"/>
      <x:c r="E33" s="12" t="str"/>
      <x:c r="F33" s="12" t="str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 t="str"/>
      <x:c r="B34" s="12" t="str"/>
      <x:c r="C34" s="12" t="str"/>
      <x:c r="D34" s="12" t="str"/>
      <x:c r="E34" s="12" t="str"/>
      <x:c r="F34" s="12" t="str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 t="str"/>
      <x:c r="B35" s="12" t="str"/>
      <x:c r="C35" s="12" t="str"/>
      <x:c r="D35" s="12" t="str"/>
      <x:c r="E35" s="12" t="str"/>
      <x:c r="F35" s="12" t="str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 t="str"/>
      <x:c r="B36" s="12" t="str"/>
      <x:c r="C36" s="12" t="str"/>
      <x:c r="D36" s="12" t="str"/>
      <x:c r="E36" s="12" t="str"/>
      <x:c r="F36" s="12" t="str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 t="str"/>
      <x:c r="B37" s="12" t="str"/>
      <x:c r="C37" s="12" t="str"/>
      <x:c r="D37" s="12" t="str"/>
      <x:c r="E37" s="12" t="str"/>
      <x:c r="F37" s="12" t="str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 t="str"/>
      <x:c r="B38" s="12" t="str"/>
      <x:c r="C38" s="12" t="str"/>
      <x:c r="D38" s="12" t="str"/>
      <x:c r="E38" s="12" t="str"/>
      <x:c r="F38" s="12" t="str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 t="str"/>
      <x:c r="B39" s="12" t="str"/>
      <x:c r="C39" s="12" t="str"/>
      <x:c r="D39" s="12" t="str"/>
      <x:c r="E39" s="12" t="str"/>
      <x:c r="F39" s="12" t="str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 t="str"/>
      <x:c r="B40" s="12" t="str"/>
      <x:c r="C40" s="12" t="str"/>
      <x:c r="D40" s="12" t="str"/>
      <x:c r="E40" s="12" t="str"/>
      <x:c r="F40" s="12" t="str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 t="str"/>
      <x:c r="B41" s="12" t="str"/>
      <x:c r="C41" s="12" t="str"/>
      <x:c r="D41" s="12" t="str"/>
      <x:c r="E41" s="12" t="str"/>
      <x:c r="F41" s="12" t="str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 t="str"/>
      <x:c r="B42" s="12" t="str"/>
      <x:c r="C42" s="12" t="str"/>
      <x:c r="D42" s="12" t="str"/>
      <x:c r="E42" s="12" t="str"/>
      <x:c r="F42" s="12" t="str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 t="str"/>
      <x:c r="B43" s="12" t="str"/>
      <x:c r="C43" s="12" t="str"/>
      <x:c r="D43" s="12" t="str"/>
      <x:c r="E43" s="12" t="str"/>
      <x:c r="F43" s="12" t="str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 t="str"/>
      <x:c r="B44" s="12" t="str"/>
      <x:c r="C44" s="12" t="str"/>
      <x:c r="D44" s="12" t="str"/>
      <x:c r="E44" s="12" t="str"/>
      <x:c r="F44" s="12" t="str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 t="str"/>
      <x:c r="B45" s="12" t="str"/>
      <x:c r="C45" s="12" t="str"/>
      <x:c r="D45" s="12" t="str"/>
      <x:c r="E45" s="12" t="str"/>
      <x:c r="F45" s="12" t="str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 t="str"/>
      <x:c r="B46" s="12" t="str"/>
      <x:c r="C46" s="12" t="str"/>
      <x:c r="D46" s="12" t="str"/>
      <x:c r="E46" s="12" t="str"/>
      <x:c r="F46" s="12" t="str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 t="str"/>
      <x:c r="B47" s="12" t="str"/>
      <x:c r="C47" s="12" t="str"/>
      <x:c r="D47" s="12" t="str"/>
      <x:c r="E47" s="12" t="str"/>
      <x:c r="F47" s="12" t="str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 t="str"/>
      <x:c r="B48" s="12" t="str"/>
      <x:c r="C48" s="12" t="str"/>
      <x:c r="D48" s="12" t="str"/>
      <x:c r="E48" s="12" t="str"/>
      <x:c r="F48" s="12" t="str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 t="str"/>
      <x:c r="B49" s="12" t="str"/>
      <x:c r="C49" s="12" t="str"/>
      <x:c r="D49" s="12" t="str"/>
      <x:c r="E49" s="12" t="str"/>
      <x:c r="F49" s="12" t="str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 t="str"/>
      <x:c r="B50" s="12" t="str"/>
      <x:c r="C50" s="12" t="str"/>
      <x:c r="D50" s="12" t="str"/>
      <x:c r="E50" s="12" t="str"/>
      <x:c r="F50" s="12" t="str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 t="str"/>
      <x:c r="B51" s="12" t="str"/>
      <x:c r="C51" s="12" t="str"/>
      <x:c r="D51" s="12" t="str"/>
      <x:c r="E51" s="12" t="str"/>
      <x:c r="F51" s="12" t="str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d2f5f6880f7a44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40" hidden="0" customWidth="1"/>
    <x:col min="3" max="3" width="11.130000114440918" hidden="0" customWidth="1"/>
    <x:col min="4" max="4" width="35" hidden="0" customWidth="1"/>
    <x:col min="5" max="5" width="12.380000114440918" hidden="0" customWidth="1"/>
    <x:col min="6" max="6" width="45" hidden="0" customWidth="1"/>
  </x:cols>
  <x:sheetData>
    <x:row r="1">
      <x:c r="A1" s="26" t="str">
        <x:v>No</x:v>
      </x:c>
      <x:c r="B1" s="26" t="str">
        <x:v>Nama Bukti</x:v>
      </x:c>
      <x:c r="C1" s="26" t="str">
        <x:v>Jenis Bukti</x:v>
      </x:c>
      <x:c r="D1" s="26" t="str">
        <x:v>Subbab Laporan</x:v>
      </x:c>
      <x:c r="E1" s="26" t="str">
        <x:v>Status</x:v>
      </x:c>
      <x:c r="F1" s="26" t="str">
        <x:v>Catatan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n">
        <x:v>1</x:v>
      </x:c>
      <x:c r="B2" s="12" t="str">
        <x:v>Screenshot RealSense Viewer RGB/Depth/IMU</x:v>
      </x:c>
      <x:c r="C2" s="12" t="str">
        <x:v>Gambar</x:v>
      </x:c>
      <x:c r="D2" s="12" t="str">
        <x:v>Integrasi Intel RealSense D455</x:v>
      </x:c>
      <x:c r="E2" s="12" t="str">
        <x:v>Belum ditempel</x:v>
      </x:c>
      <x:c r="F2" s="12" t="str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n">
        <x:v>2</x:v>
      </x:c>
      <x:c r="B3" s="12" t="str">
        <x:v>Screenshot RViz LaserScan /scan</x:v>
      </x:c>
      <x:c r="C3" s="12" t="str">
        <x:v>Gambar</x:v>
      </x:c>
      <x:c r="D3" s="12" t="str">
        <x:v>Integrasi RPLiDAR C1</x:v>
      </x:c>
      <x:c r="E3" s="12" t="str">
        <x:v>Belum ditempel</x:v>
      </x:c>
      <x:c r="F3" s="12" t="str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n">
        <x:v>3</x:v>
      </x:c>
      <x:c r="B4" s="12" t="str">
        <x:v>Screenshot ros2 topic list</x:v>
      </x:c>
      <x:c r="C4" s="12" t="str">
        <x:v>Gambar</x:v>
      </x:c>
      <x:c r="D4" s="12" t="str">
        <x:v>Instalasi/Integrasi ROS 2</x:v>
      </x:c>
      <x:c r="E4" s="12" t="str">
        <x:v>Belum ditempel</x:v>
      </x:c>
      <x:c r="F4" s="12" t="str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n">
        <x:v>4</x:v>
      </x:c>
      <x:c r="B5" s="12" t="str">
        <x:v>CSV odometry_trials.csv</x:v>
      </x:c>
      <x:c r="C5" s="12" t="str">
        <x:v>CSV</x:v>
      </x:c>
      <x:c r="D5" s="12" t="str">
        <x:v>Validasi Odometry</x:v>
      </x:c>
      <x:c r="E5" s="12" t="str">
        <x:v>Belum ditempel</x:v>
      </x:c>
      <x:c r="F5" s="12" t="str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n">
        <x:v>5</x:v>
      </x:c>
      <x:c r="B6" s="12" t="str">
        <x:v>CSV localization_trials.csv</x:v>
      </x:c>
      <x:c r="C6" s="12" t="str">
        <x:v>CSV</x:v>
      </x:c>
      <x:c r="D6" s="12" t="str">
        <x:v>Localization terhadap Peta</x:v>
      </x:c>
      <x:c r="E6" s="12" t="str">
        <x:v>Belum ditempel</x:v>
      </x:c>
      <x:c r="F6" s="12" t="str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n">
        <x:v>6</x:v>
      </x:c>
      <x:c r="B7" s="12" t="str">
        <x:v>CSV navigation_trials.csv</x:v>
      </x:c>
      <x:c r="C7" s="12" t="str">
        <x:v>CSV</x:v>
      </x:c>
      <x:c r="D7" s="12" t="str">
        <x:v>Mode Demo Navigasi</x:v>
      </x:c>
      <x:c r="E7" s="12" t="str">
        <x:v>Belum ditempel</x:v>
      </x:c>
      <x:c r="F7" s="12" t="str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n">
        <x:v>7</x:v>
      </x:c>
      <x:c r="B8" s="12" t="str">
        <x:v>Screenshot RTAB-Map Graph View</x:v>
      </x:c>
      <x:c r="C8" s="12" t="str">
        <x:v>Gambar</x:v>
      </x:c>
      <x:c r="D8" s="12" t="str">
        <x:v>Mapping RTAB-Map</x:v>
      </x:c>
      <x:c r="E8" s="12" t="str">
        <x:v>Belum ditempel</x:v>
      </x:c>
      <x:c r="F8" s="12" t="str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n">
        <x:v>8</x:v>
      </x:c>
      <x:c r="B9" s="12" t="str">
        <x:v>Screenshot Nav2 Goal/RViz Path</x:v>
      </x:c>
      <x:c r="C9" s="12" t="str">
        <x:v>Gambar</x:v>
      </x:c>
      <x:c r="D9" s="12" t="str">
        <x:v>Mode Demo Navigasi</x:v>
      </x:c>
      <x:c r="E9" s="12" t="str">
        <x:v>Belum ditempel</x:v>
      </x:c>
      <x:c r="F9" s="12" t="str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abfc9def26c64cbc"/>
  </x:tableParts>
</x:worksheet>
</file>